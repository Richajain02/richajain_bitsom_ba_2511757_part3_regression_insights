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5"/>
    <sheet state="visible" name="Cleanedprepared data " sheetId="2" r:id="rId6"/>
    <sheet state="visible" name="Dummy variable" sheetId="3" r:id="rId7"/>
    <sheet state="visible" name="Simple regression outputs" sheetId="4" r:id="rId8"/>
    <sheet state="visible" name="Multiple regression outputs" sheetId="5" r:id="rId9"/>
    <sheet state="visible" name="Prediction and residual calcula" sheetId="6" r:id="rId10"/>
    <sheet state="visible" name="Model comparison" sheetId="7" r:id="rId11"/>
  </sheets>
  <definedNames/>
  <calcPr/>
</workbook>
</file>

<file path=xl/sharedStrings.xml><?xml version="1.0" encoding="utf-8"?>
<sst xmlns="http://schemas.openxmlformats.org/spreadsheetml/2006/main" count="3976" uniqueCount="134">
  <si>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</si>
  <si>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</si>
  <si>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</si>
  <si>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</si>
  <si>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</si>
  <si>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</si>
  <si>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</si>
  <si>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</si>
  <si>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</si>
  <si>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</si>
  <si>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</si>
  <si>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</si>
  <si>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</si>
  <si>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</si>
  <si>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</si>
  <si>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</si>
  <si>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</si>
  <si>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</si>
  <si>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</si>
  <si>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</si>
  <si>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</si>
  <si>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</si>
  <si>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</si>
  <si>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</si>
  <si>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</si>
  <si>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</si>
  <si>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</si>
  <si>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</si>
  <si>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</si>
  <si>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</si>
  <si>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</si>
  <si>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</si>
  <si>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</si>
  <si>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</si>
  <si>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</si>
  <si>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</si>
  <si>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</si>
  <si>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</si>
  <si>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</si>
  <si>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</si>
  <si>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</si>
  <si>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</si>
  <si>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</si>
  <si>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</si>
  <si>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</si>
  <si>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</si>
  <si>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</si>
  <si>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</si>
  <si>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</si>
  <si>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</si>
  <si>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</si>
  <si>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</si>
  <si>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</si>
  <si>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</si>
  <si>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</si>
  <si>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</si>
  <si>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</si>
  <si>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</si>
  <si>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</si>
  <si>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</si>
  <si>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</si>
  <si>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</si>
  <si>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</si>
  <si>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</si>
  <si>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</si>
  <si>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</si>
  <si>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</si>
  <si>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</si>
  <si>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</si>
  <si>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</si>
  <si>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</si>
  <si>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</si>
  <si>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</si>
  <si>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</si>
  <si>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</si>
  <si>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</si>
  <si>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</si>
  <si>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</si>
  <si>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</si>
  <si>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</si>
  <si>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</si>
  <si>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</si>
  <si>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</si>
  <si>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</si>
  <si>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</si>
  <si>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</si>
  <si>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</si>
  <si>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</si>
  <si>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</si>
  <si>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</si>
  <si>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</si>
  <si>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</si>
  <si>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</si>
  <si>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</si>
  <si>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</si>
  <si>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</si>
  <si>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</si>
  <si>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</si>
  <si>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</si>
  <si>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</si>
  <si>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</si>
  <si>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</si>
  <si>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</si>
  <si>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</si>
  <si>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</si>
  <si>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store_Airport</t>
  </si>
  <si>
    <t>store_High Street</t>
  </si>
  <si>
    <t>store_Mall</t>
  </si>
  <si>
    <t>Model</t>
  </si>
  <si>
    <t>Dependent Variable</t>
  </si>
  <si>
    <t>Independent Variable</t>
  </si>
  <si>
    <t>Coefficient</t>
  </si>
  <si>
    <t>P-value</t>
  </si>
  <si>
    <t>R²</t>
  </si>
  <si>
    <t>Model 1</t>
  </si>
  <si>
    <t>Monthly Sales</t>
  </si>
  <si>
    <t>Marketing Spend</t>
  </si>
  <si>
    <t>Model 2</t>
  </si>
  <si>
    <t>Footfall</t>
  </si>
  <si>
    <t>Variable</t>
  </si>
  <si>
    <t>Intercept</t>
  </si>
  <si>
    <t>predicted_sales</t>
  </si>
  <si>
    <t>residual</t>
  </si>
  <si>
    <t>5 records with the largest positive residuals &amp; 5 records with the largest negative residuals.</t>
  </si>
  <si>
    <t>Model Name</t>
  </si>
  <si>
    <t>Variables Used</t>
  </si>
  <si>
    <t>Significant Variables</t>
  </si>
  <si>
    <t>Business Usefulness</t>
  </si>
  <si>
    <t>Useful</t>
  </si>
  <si>
    <t>Very Useful</t>
  </si>
  <si>
    <t>Model 3</t>
  </si>
  <si>
    <t>Multiple Regression</t>
  </si>
  <si>
    <t>Marketing Spend, Footfall, Inventory Availability %, Region_North</t>
  </si>
  <si>
    <t>Marketing Spend, Footfall, Inventory Availability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</si>
</sst>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7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5F91"/>
        <bgColor rgb="FF365F9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1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7" max="7" width="14.25"/>
    <col customWidth="1" min="9" max="9" width="20.75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5"/>
      <c r="M35" s="4">
        <v>799477.76</v>
      </c>
      <c r="N35" s="4">
        <v>164974.41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5"/>
      <c r="K73" s="4">
        <v>0.0</v>
      </c>
      <c r="L73" s="4">
        <v>3.5</v>
      </c>
      <c r="M73" s="4">
        <v>674774.09</v>
      </c>
      <c r="N73" s="4">
        <v>141917.59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5"/>
      <c r="M87" s="4">
        <v>611766.72</v>
      </c>
      <c r="N87" s="4">
        <v>88275.61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5"/>
      <c r="K100" s="4">
        <v>0.0</v>
      </c>
      <c r="L100" s="4">
        <v>4.3</v>
      </c>
      <c r="M100" s="4">
        <v>605775.33</v>
      </c>
      <c r="N100" s="4">
        <v>107194.6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5"/>
      <c r="M135" s="4">
        <v>400831.65</v>
      </c>
      <c r="N135" s="4">
        <v>70979.31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5"/>
      <c r="M138" s="4">
        <v>633638.03</v>
      </c>
      <c r="N138" s="4">
        <v>99402.01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5"/>
      <c r="K164" s="4">
        <v>0.0</v>
      </c>
      <c r="L164" s="4">
        <v>4.2</v>
      </c>
      <c r="M164" s="4">
        <v>677096.71</v>
      </c>
      <c r="N164" s="4">
        <v>97174.11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5"/>
      <c r="M197" s="4">
        <v>449465.06</v>
      </c>
      <c r="N197" s="4">
        <v>65694.78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5"/>
      <c r="M229" s="4">
        <v>529598.94</v>
      </c>
      <c r="N229" s="4">
        <v>84334.33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5"/>
      <c r="K233" s="4">
        <v>0.0</v>
      </c>
      <c r="L233" s="4">
        <v>3.7</v>
      </c>
      <c r="M233" s="4">
        <v>647512.85</v>
      </c>
      <c r="N233" s="4">
        <v>153835.57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5"/>
      <c r="K250" s="4">
        <v>0.0</v>
      </c>
      <c r="L250" s="4">
        <v>3.8</v>
      </c>
      <c r="M250" s="4">
        <v>606783.67</v>
      </c>
      <c r="N250" s="4">
        <v>74515.87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5"/>
      <c r="K263" s="4">
        <v>0.0</v>
      </c>
      <c r="L263" s="4">
        <v>4.2</v>
      </c>
      <c r="M263" s="4">
        <v>605751.33</v>
      </c>
      <c r="N263" s="4">
        <v>60685.53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5"/>
      <c r="M313" s="4">
        <v>771129.07</v>
      </c>
      <c r="N313" s="4">
        <v>116851.13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5"/>
      <c r="M315" s="4">
        <v>688368.46</v>
      </c>
      <c r="N315" s="4">
        <v>93588.42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7" max="7" width="14.25"/>
    <col customWidth="1" min="9" max="9" width="20.75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6">
        <v>3.92</v>
      </c>
      <c r="M35" s="4">
        <v>799477.76</v>
      </c>
      <c r="N35" s="4">
        <v>164974.41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6">
        <v>4.56</v>
      </c>
      <c r="K73" s="4">
        <v>0.0</v>
      </c>
      <c r="L73" s="4">
        <v>3.5</v>
      </c>
      <c r="M73" s="4">
        <v>674774.09</v>
      </c>
      <c r="N73" s="4">
        <v>141917.59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6">
        <v>3.92</v>
      </c>
      <c r="M87" s="4">
        <v>611766.72</v>
      </c>
      <c r="N87" s="4">
        <v>88275.61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6">
        <v>4.56</v>
      </c>
      <c r="K100" s="4">
        <v>0.0</v>
      </c>
      <c r="L100" s="4">
        <v>4.3</v>
      </c>
      <c r="M100" s="4">
        <v>605775.33</v>
      </c>
      <c r="N100" s="4">
        <v>107194.6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6">
        <v>3.92</v>
      </c>
      <c r="M135" s="4">
        <v>400831.65</v>
      </c>
      <c r="N135" s="4">
        <v>70979.31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6">
        <v>3.92</v>
      </c>
      <c r="M138" s="4">
        <v>633638.03</v>
      </c>
      <c r="N138" s="4">
        <v>99402.01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6">
        <v>4.56</v>
      </c>
      <c r="K164" s="4">
        <v>0.0</v>
      </c>
      <c r="L164" s="4">
        <v>4.2</v>
      </c>
      <c r="M164" s="4">
        <v>677096.71</v>
      </c>
      <c r="N164" s="4">
        <v>97174.11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6">
        <v>3.92</v>
      </c>
      <c r="M197" s="4">
        <v>449465.06</v>
      </c>
      <c r="N197" s="4">
        <v>65694.78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6">
        <v>3.92</v>
      </c>
      <c r="M229" s="4">
        <v>529598.94</v>
      </c>
      <c r="N229" s="4">
        <v>84334.33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6">
        <v>4.56</v>
      </c>
      <c r="K233" s="4">
        <v>0.0</v>
      </c>
      <c r="L233" s="4">
        <v>3.7</v>
      </c>
      <c r="M233" s="4">
        <v>647512.85</v>
      </c>
      <c r="N233" s="4">
        <v>153835.57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6">
        <v>4.56</v>
      </c>
      <c r="K250" s="4">
        <v>0.0</v>
      </c>
      <c r="L250" s="4">
        <v>3.8</v>
      </c>
      <c r="M250" s="4">
        <v>606783.67</v>
      </c>
      <c r="N250" s="4">
        <v>74515.87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6">
        <v>4.56</v>
      </c>
      <c r="K263" s="4">
        <v>0.0</v>
      </c>
      <c r="L263" s="4">
        <v>4.2</v>
      </c>
      <c r="M263" s="4">
        <v>605751.33</v>
      </c>
      <c r="N263" s="4">
        <v>60685.53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6">
        <v>3.92</v>
      </c>
      <c r="M313" s="4">
        <v>771129.07</v>
      </c>
      <c r="N313" s="4">
        <v>116851.13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6">
        <v>3.92</v>
      </c>
      <c r="M315" s="4">
        <v>688368.46</v>
      </c>
      <c r="N315" s="4">
        <v>93588.42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7" max="7" width="14.25"/>
    <col customWidth="1" min="9" max="9" width="20.75"/>
    <col customWidth="1" min="10" max="10" width="20.0"/>
    <col customWidth="1" min="18" max="2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102</v>
      </c>
      <c r="P1" s="7" t="s">
        <v>103</v>
      </c>
      <c r="Q1" s="7" t="s">
        <v>104</v>
      </c>
      <c r="R1" s="7" t="s">
        <v>105</v>
      </c>
      <c r="S1" s="7" t="s">
        <v>106</v>
      </c>
      <c r="T1" s="7" t="s">
        <v>107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  <c r="O2" s="8">
        <f t="shared" ref="O2:O321" si="1">IF(C2="North",1,0)</f>
        <v>0</v>
      </c>
      <c r="P2" s="8">
        <f t="shared" ref="P2:P321" si="2">IF(C2="South",1,0)</f>
        <v>0</v>
      </c>
      <c r="Q2" s="8">
        <f t="shared" ref="Q2:Q321" si="3">IF(C2="West",1,0)</f>
        <v>0</v>
      </c>
      <c r="R2" s="8">
        <f t="shared" ref="R2:R321" si="4">IF(D2="Airport",1,0)</f>
        <v>0</v>
      </c>
      <c r="S2" s="8">
        <f t="shared" ref="S2:S321" si="5">IF(D2="High Street",1,0)</f>
        <v>0</v>
      </c>
      <c r="T2" s="8">
        <f t="shared" ref="T2:T321" si="6">IF(D2="Mall",1,0)</f>
        <v>0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  <c r="O3" s="8">
        <f t="shared" si="1"/>
        <v>0</v>
      </c>
      <c r="P3" s="8">
        <f t="shared" si="2"/>
        <v>0</v>
      </c>
      <c r="Q3" s="8">
        <f t="shared" si="3"/>
        <v>0</v>
      </c>
      <c r="R3" s="8">
        <f t="shared" si="4"/>
        <v>0</v>
      </c>
      <c r="S3" s="8">
        <f t="shared" si="5"/>
        <v>0</v>
      </c>
      <c r="T3" s="8">
        <f t="shared" si="6"/>
        <v>0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  <c r="O4" s="8">
        <f t="shared" si="1"/>
        <v>0</v>
      </c>
      <c r="P4" s="8">
        <f t="shared" si="2"/>
        <v>0</v>
      </c>
      <c r="Q4" s="8">
        <f t="shared" si="3"/>
        <v>0</v>
      </c>
      <c r="R4" s="8">
        <f t="shared" si="4"/>
        <v>0</v>
      </c>
      <c r="S4" s="8">
        <f t="shared" si="5"/>
        <v>0</v>
      </c>
      <c r="T4" s="8">
        <f t="shared" si="6"/>
        <v>0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  <c r="O5" s="8">
        <f t="shared" si="1"/>
        <v>0</v>
      </c>
      <c r="P5" s="8">
        <f t="shared" si="2"/>
        <v>0</v>
      </c>
      <c r="Q5" s="8">
        <f t="shared" si="3"/>
        <v>0</v>
      </c>
      <c r="R5" s="8">
        <f t="shared" si="4"/>
        <v>0</v>
      </c>
      <c r="S5" s="8">
        <f t="shared" si="5"/>
        <v>0</v>
      </c>
      <c r="T5" s="8">
        <f t="shared" si="6"/>
        <v>0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  <c r="O6" s="8">
        <f t="shared" si="1"/>
        <v>0</v>
      </c>
      <c r="P6" s="8">
        <f t="shared" si="2"/>
        <v>0</v>
      </c>
      <c r="Q6" s="8">
        <f t="shared" si="3"/>
        <v>0</v>
      </c>
      <c r="R6" s="8">
        <f t="shared" si="4"/>
        <v>0</v>
      </c>
      <c r="S6" s="8">
        <f t="shared" si="5"/>
        <v>1</v>
      </c>
      <c r="T6" s="8">
        <f t="shared" si="6"/>
        <v>0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  <c r="O7" s="8">
        <f t="shared" si="1"/>
        <v>0</v>
      </c>
      <c r="P7" s="8">
        <f t="shared" si="2"/>
        <v>0</v>
      </c>
      <c r="Q7" s="8">
        <f t="shared" si="3"/>
        <v>0</v>
      </c>
      <c r="R7" s="8">
        <f t="shared" si="4"/>
        <v>0</v>
      </c>
      <c r="S7" s="8">
        <f t="shared" si="5"/>
        <v>1</v>
      </c>
      <c r="T7" s="8">
        <f t="shared" si="6"/>
        <v>0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  <c r="O8" s="8">
        <f t="shared" si="1"/>
        <v>0</v>
      </c>
      <c r="P8" s="8">
        <f t="shared" si="2"/>
        <v>0</v>
      </c>
      <c r="Q8" s="8">
        <f t="shared" si="3"/>
        <v>0</v>
      </c>
      <c r="R8" s="8">
        <f t="shared" si="4"/>
        <v>0</v>
      </c>
      <c r="S8" s="8">
        <f t="shared" si="5"/>
        <v>1</v>
      </c>
      <c r="T8" s="8">
        <f t="shared" si="6"/>
        <v>0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  <c r="O9" s="8">
        <f t="shared" si="1"/>
        <v>0</v>
      </c>
      <c r="P9" s="8">
        <f t="shared" si="2"/>
        <v>0</v>
      </c>
      <c r="Q9" s="8">
        <f t="shared" si="3"/>
        <v>0</v>
      </c>
      <c r="R9" s="8">
        <f t="shared" si="4"/>
        <v>0</v>
      </c>
      <c r="S9" s="8">
        <f t="shared" si="5"/>
        <v>1</v>
      </c>
      <c r="T9" s="8">
        <f t="shared" si="6"/>
        <v>0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  <c r="O10" s="8">
        <f t="shared" si="1"/>
        <v>1</v>
      </c>
      <c r="P10" s="8">
        <f t="shared" si="2"/>
        <v>0</v>
      </c>
      <c r="Q10" s="8">
        <f t="shared" si="3"/>
        <v>0</v>
      </c>
      <c r="R10" s="8">
        <f t="shared" si="4"/>
        <v>1</v>
      </c>
      <c r="S10" s="8">
        <f t="shared" si="5"/>
        <v>0</v>
      </c>
      <c r="T10" s="8">
        <f t="shared" si="6"/>
        <v>0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  <c r="O11" s="8">
        <f t="shared" si="1"/>
        <v>1</v>
      </c>
      <c r="P11" s="8">
        <f t="shared" si="2"/>
        <v>0</v>
      </c>
      <c r="Q11" s="8">
        <f t="shared" si="3"/>
        <v>0</v>
      </c>
      <c r="R11" s="8">
        <f t="shared" si="4"/>
        <v>1</v>
      </c>
      <c r="S11" s="8">
        <f t="shared" si="5"/>
        <v>0</v>
      </c>
      <c r="T11" s="8">
        <f t="shared" si="6"/>
        <v>0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  <c r="O12" s="8">
        <f t="shared" si="1"/>
        <v>1</v>
      </c>
      <c r="P12" s="8">
        <f t="shared" si="2"/>
        <v>0</v>
      </c>
      <c r="Q12" s="8">
        <f t="shared" si="3"/>
        <v>0</v>
      </c>
      <c r="R12" s="8">
        <f t="shared" si="4"/>
        <v>1</v>
      </c>
      <c r="S12" s="8">
        <f t="shared" si="5"/>
        <v>0</v>
      </c>
      <c r="T12" s="8">
        <f t="shared" si="6"/>
        <v>0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  <c r="O13" s="8">
        <f t="shared" si="1"/>
        <v>1</v>
      </c>
      <c r="P13" s="8">
        <f t="shared" si="2"/>
        <v>0</v>
      </c>
      <c r="Q13" s="8">
        <f t="shared" si="3"/>
        <v>0</v>
      </c>
      <c r="R13" s="8">
        <f t="shared" si="4"/>
        <v>1</v>
      </c>
      <c r="S13" s="8">
        <f t="shared" si="5"/>
        <v>0</v>
      </c>
      <c r="T13" s="8">
        <f t="shared" si="6"/>
        <v>0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  <c r="O14" s="8">
        <f t="shared" si="1"/>
        <v>0</v>
      </c>
      <c r="P14" s="8">
        <f t="shared" si="2"/>
        <v>0</v>
      </c>
      <c r="Q14" s="8">
        <f t="shared" si="3"/>
        <v>0</v>
      </c>
      <c r="R14" s="8">
        <f t="shared" si="4"/>
        <v>0</v>
      </c>
      <c r="S14" s="8">
        <f t="shared" si="5"/>
        <v>0</v>
      </c>
      <c r="T14" s="8">
        <f t="shared" si="6"/>
        <v>0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  <c r="O15" s="8">
        <f t="shared" si="1"/>
        <v>0</v>
      </c>
      <c r="P15" s="8">
        <f t="shared" si="2"/>
        <v>0</v>
      </c>
      <c r="Q15" s="8">
        <f t="shared" si="3"/>
        <v>0</v>
      </c>
      <c r="R15" s="8">
        <f t="shared" si="4"/>
        <v>0</v>
      </c>
      <c r="S15" s="8">
        <f t="shared" si="5"/>
        <v>0</v>
      </c>
      <c r="T15" s="8">
        <f t="shared" si="6"/>
        <v>0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  <c r="O16" s="8">
        <f t="shared" si="1"/>
        <v>0</v>
      </c>
      <c r="P16" s="8">
        <f t="shared" si="2"/>
        <v>0</v>
      </c>
      <c r="Q16" s="8">
        <f t="shared" si="3"/>
        <v>0</v>
      </c>
      <c r="R16" s="8">
        <f t="shared" si="4"/>
        <v>0</v>
      </c>
      <c r="S16" s="8">
        <f t="shared" si="5"/>
        <v>0</v>
      </c>
      <c r="T16" s="8">
        <f t="shared" si="6"/>
        <v>0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  <c r="O17" s="8">
        <f t="shared" si="1"/>
        <v>0</v>
      </c>
      <c r="P17" s="8">
        <f t="shared" si="2"/>
        <v>0</v>
      </c>
      <c r="Q17" s="8">
        <f t="shared" si="3"/>
        <v>0</v>
      </c>
      <c r="R17" s="8">
        <f t="shared" si="4"/>
        <v>0</v>
      </c>
      <c r="S17" s="8">
        <f t="shared" si="5"/>
        <v>0</v>
      </c>
      <c r="T17" s="8">
        <f t="shared" si="6"/>
        <v>0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  <c r="O18" s="8">
        <f t="shared" si="1"/>
        <v>0</v>
      </c>
      <c r="P18" s="8">
        <f t="shared" si="2"/>
        <v>1</v>
      </c>
      <c r="Q18" s="8">
        <f t="shared" si="3"/>
        <v>0</v>
      </c>
      <c r="R18" s="8">
        <f t="shared" si="4"/>
        <v>0</v>
      </c>
      <c r="S18" s="8">
        <f t="shared" si="5"/>
        <v>0</v>
      </c>
      <c r="T18" s="8">
        <f t="shared" si="6"/>
        <v>0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  <c r="O19" s="8">
        <f t="shared" si="1"/>
        <v>0</v>
      </c>
      <c r="P19" s="8">
        <f t="shared" si="2"/>
        <v>1</v>
      </c>
      <c r="Q19" s="8">
        <f t="shared" si="3"/>
        <v>0</v>
      </c>
      <c r="R19" s="8">
        <f t="shared" si="4"/>
        <v>0</v>
      </c>
      <c r="S19" s="8">
        <f t="shared" si="5"/>
        <v>0</v>
      </c>
      <c r="T19" s="8">
        <f t="shared" si="6"/>
        <v>0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  <c r="O20" s="8">
        <f t="shared" si="1"/>
        <v>0</v>
      </c>
      <c r="P20" s="8">
        <f t="shared" si="2"/>
        <v>1</v>
      </c>
      <c r="Q20" s="8">
        <f t="shared" si="3"/>
        <v>0</v>
      </c>
      <c r="R20" s="8">
        <f t="shared" si="4"/>
        <v>0</v>
      </c>
      <c r="S20" s="8">
        <f t="shared" si="5"/>
        <v>0</v>
      </c>
      <c r="T20" s="8">
        <f t="shared" si="6"/>
        <v>0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  <c r="O21" s="8">
        <f t="shared" si="1"/>
        <v>0</v>
      </c>
      <c r="P21" s="8">
        <f t="shared" si="2"/>
        <v>1</v>
      </c>
      <c r="Q21" s="8">
        <f t="shared" si="3"/>
        <v>0</v>
      </c>
      <c r="R21" s="8">
        <f t="shared" si="4"/>
        <v>0</v>
      </c>
      <c r="S21" s="8">
        <f t="shared" si="5"/>
        <v>0</v>
      </c>
      <c r="T21" s="8">
        <f t="shared" si="6"/>
        <v>0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  <c r="O22" s="8">
        <f t="shared" si="1"/>
        <v>1</v>
      </c>
      <c r="P22" s="8">
        <f t="shared" si="2"/>
        <v>0</v>
      </c>
      <c r="Q22" s="8">
        <f t="shared" si="3"/>
        <v>0</v>
      </c>
      <c r="R22" s="8">
        <f t="shared" si="4"/>
        <v>0</v>
      </c>
      <c r="S22" s="8">
        <f t="shared" si="5"/>
        <v>0</v>
      </c>
      <c r="T22" s="8">
        <f t="shared" si="6"/>
        <v>0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  <c r="O23" s="8">
        <f t="shared" si="1"/>
        <v>1</v>
      </c>
      <c r="P23" s="8">
        <f t="shared" si="2"/>
        <v>0</v>
      </c>
      <c r="Q23" s="8">
        <f t="shared" si="3"/>
        <v>0</v>
      </c>
      <c r="R23" s="8">
        <f t="shared" si="4"/>
        <v>0</v>
      </c>
      <c r="S23" s="8">
        <f t="shared" si="5"/>
        <v>0</v>
      </c>
      <c r="T23" s="8">
        <f t="shared" si="6"/>
        <v>0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  <c r="O24" s="8">
        <f t="shared" si="1"/>
        <v>1</v>
      </c>
      <c r="P24" s="8">
        <f t="shared" si="2"/>
        <v>0</v>
      </c>
      <c r="Q24" s="8">
        <f t="shared" si="3"/>
        <v>0</v>
      </c>
      <c r="R24" s="8">
        <f t="shared" si="4"/>
        <v>0</v>
      </c>
      <c r="S24" s="8">
        <f t="shared" si="5"/>
        <v>0</v>
      </c>
      <c r="T24" s="8">
        <f t="shared" si="6"/>
        <v>0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  <c r="O25" s="8">
        <f t="shared" si="1"/>
        <v>1</v>
      </c>
      <c r="P25" s="8">
        <f t="shared" si="2"/>
        <v>0</v>
      </c>
      <c r="Q25" s="8">
        <f t="shared" si="3"/>
        <v>0</v>
      </c>
      <c r="R25" s="8">
        <f t="shared" si="4"/>
        <v>0</v>
      </c>
      <c r="S25" s="8">
        <f t="shared" si="5"/>
        <v>0</v>
      </c>
      <c r="T25" s="8">
        <f t="shared" si="6"/>
        <v>0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  <c r="O26" s="8">
        <f t="shared" si="1"/>
        <v>0</v>
      </c>
      <c r="P26" s="8">
        <f t="shared" si="2"/>
        <v>0</v>
      </c>
      <c r="Q26" s="8">
        <f t="shared" si="3"/>
        <v>1</v>
      </c>
      <c r="R26" s="8">
        <f t="shared" si="4"/>
        <v>0</v>
      </c>
      <c r="S26" s="8">
        <f t="shared" si="5"/>
        <v>0</v>
      </c>
      <c r="T26" s="8">
        <f t="shared" si="6"/>
        <v>1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  <c r="O27" s="8">
        <f t="shared" si="1"/>
        <v>0</v>
      </c>
      <c r="P27" s="8">
        <f t="shared" si="2"/>
        <v>0</v>
      </c>
      <c r="Q27" s="8">
        <f t="shared" si="3"/>
        <v>1</v>
      </c>
      <c r="R27" s="8">
        <f t="shared" si="4"/>
        <v>0</v>
      </c>
      <c r="S27" s="8">
        <f t="shared" si="5"/>
        <v>0</v>
      </c>
      <c r="T27" s="8">
        <f t="shared" si="6"/>
        <v>1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  <c r="O28" s="8">
        <f t="shared" si="1"/>
        <v>0</v>
      </c>
      <c r="P28" s="8">
        <f t="shared" si="2"/>
        <v>0</v>
      </c>
      <c r="Q28" s="8">
        <f t="shared" si="3"/>
        <v>1</v>
      </c>
      <c r="R28" s="8">
        <f t="shared" si="4"/>
        <v>0</v>
      </c>
      <c r="S28" s="8">
        <f t="shared" si="5"/>
        <v>0</v>
      </c>
      <c r="T28" s="8">
        <f t="shared" si="6"/>
        <v>1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  <c r="O29" s="8">
        <f t="shared" si="1"/>
        <v>0</v>
      </c>
      <c r="P29" s="8">
        <f t="shared" si="2"/>
        <v>0</v>
      </c>
      <c r="Q29" s="8">
        <f t="shared" si="3"/>
        <v>1</v>
      </c>
      <c r="R29" s="8">
        <f t="shared" si="4"/>
        <v>0</v>
      </c>
      <c r="S29" s="8">
        <f t="shared" si="5"/>
        <v>0</v>
      </c>
      <c r="T29" s="8">
        <f t="shared" si="6"/>
        <v>1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  <c r="O30" s="8">
        <f t="shared" si="1"/>
        <v>0</v>
      </c>
      <c r="P30" s="8">
        <f t="shared" si="2"/>
        <v>0</v>
      </c>
      <c r="Q30" s="8">
        <f t="shared" si="3"/>
        <v>0</v>
      </c>
      <c r="R30" s="8">
        <f t="shared" si="4"/>
        <v>0</v>
      </c>
      <c r="S30" s="8">
        <f t="shared" si="5"/>
        <v>0</v>
      </c>
      <c r="T30" s="8">
        <f t="shared" si="6"/>
        <v>0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  <c r="O31" s="8">
        <f t="shared" si="1"/>
        <v>0</v>
      </c>
      <c r="P31" s="8">
        <f t="shared" si="2"/>
        <v>0</v>
      </c>
      <c r="Q31" s="8">
        <f t="shared" si="3"/>
        <v>0</v>
      </c>
      <c r="R31" s="8">
        <f t="shared" si="4"/>
        <v>0</v>
      </c>
      <c r="S31" s="8">
        <f t="shared" si="5"/>
        <v>0</v>
      </c>
      <c r="T31" s="8">
        <f t="shared" si="6"/>
        <v>0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  <c r="O32" s="8">
        <f t="shared" si="1"/>
        <v>0</v>
      </c>
      <c r="P32" s="8">
        <f t="shared" si="2"/>
        <v>0</v>
      </c>
      <c r="Q32" s="8">
        <f t="shared" si="3"/>
        <v>0</v>
      </c>
      <c r="R32" s="8">
        <f t="shared" si="4"/>
        <v>0</v>
      </c>
      <c r="S32" s="8">
        <f t="shared" si="5"/>
        <v>0</v>
      </c>
      <c r="T32" s="8">
        <f t="shared" si="6"/>
        <v>0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  <c r="O33" s="8">
        <f t="shared" si="1"/>
        <v>0</v>
      </c>
      <c r="P33" s="8">
        <f t="shared" si="2"/>
        <v>0</v>
      </c>
      <c r="Q33" s="8">
        <f t="shared" si="3"/>
        <v>0</v>
      </c>
      <c r="R33" s="8">
        <f t="shared" si="4"/>
        <v>0</v>
      </c>
      <c r="S33" s="8">
        <f t="shared" si="5"/>
        <v>0</v>
      </c>
      <c r="T33" s="8">
        <f t="shared" si="6"/>
        <v>0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  <c r="O34" s="8">
        <f t="shared" si="1"/>
        <v>1</v>
      </c>
      <c r="P34" s="8">
        <f t="shared" si="2"/>
        <v>0</v>
      </c>
      <c r="Q34" s="8">
        <f t="shared" si="3"/>
        <v>0</v>
      </c>
      <c r="R34" s="8">
        <f t="shared" si="4"/>
        <v>0</v>
      </c>
      <c r="S34" s="8">
        <f t="shared" si="5"/>
        <v>0</v>
      </c>
      <c r="T34" s="8">
        <f t="shared" si="6"/>
        <v>0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6">
        <v>3.92</v>
      </c>
      <c r="M35" s="4">
        <v>799477.76</v>
      </c>
      <c r="N35" s="4">
        <v>164974.41</v>
      </c>
      <c r="O35" s="8">
        <f t="shared" si="1"/>
        <v>1</v>
      </c>
      <c r="P35" s="8">
        <f t="shared" si="2"/>
        <v>0</v>
      </c>
      <c r="Q35" s="8">
        <f t="shared" si="3"/>
        <v>0</v>
      </c>
      <c r="R35" s="8">
        <f t="shared" si="4"/>
        <v>0</v>
      </c>
      <c r="S35" s="8">
        <f t="shared" si="5"/>
        <v>0</v>
      </c>
      <c r="T35" s="8">
        <f t="shared" si="6"/>
        <v>0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  <c r="O36" s="8">
        <f t="shared" si="1"/>
        <v>1</v>
      </c>
      <c r="P36" s="8">
        <f t="shared" si="2"/>
        <v>0</v>
      </c>
      <c r="Q36" s="8">
        <f t="shared" si="3"/>
        <v>0</v>
      </c>
      <c r="R36" s="8">
        <f t="shared" si="4"/>
        <v>0</v>
      </c>
      <c r="S36" s="8">
        <f t="shared" si="5"/>
        <v>0</v>
      </c>
      <c r="T36" s="8">
        <f t="shared" si="6"/>
        <v>0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  <c r="O37" s="8">
        <f t="shared" si="1"/>
        <v>1</v>
      </c>
      <c r="P37" s="8">
        <f t="shared" si="2"/>
        <v>0</v>
      </c>
      <c r="Q37" s="8">
        <f t="shared" si="3"/>
        <v>0</v>
      </c>
      <c r="R37" s="8">
        <f t="shared" si="4"/>
        <v>0</v>
      </c>
      <c r="S37" s="8">
        <f t="shared" si="5"/>
        <v>0</v>
      </c>
      <c r="T37" s="8">
        <f t="shared" si="6"/>
        <v>0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  <c r="O38" s="8">
        <f t="shared" si="1"/>
        <v>1</v>
      </c>
      <c r="P38" s="8">
        <f t="shared" si="2"/>
        <v>0</v>
      </c>
      <c r="Q38" s="8">
        <f t="shared" si="3"/>
        <v>0</v>
      </c>
      <c r="R38" s="8">
        <f t="shared" si="4"/>
        <v>0</v>
      </c>
      <c r="S38" s="8">
        <f t="shared" si="5"/>
        <v>0</v>
      </c>
      <c r="T38" s="8">
        <f t="shared" si="6"/>
        <v>1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  <c r="O39" s="8">
        <f t="shared" si="1"/>
        <v>1</v>
      </c>
      <c r="P39" s="8">
        <f t="shared" si="2"/>
        <v>0</v>
      </c>
      <c r="Q39" s="8">
        <f t="shared" si="3"/>
        <v>0</v>
      </c>
      <c r="R39" s="8">
        <f t="shared" si="4"/>
        <v>0</v>
      </c>
      <c r="S39" s="8">
        <f t="shared" si="5"/>
        <v>0</v>
      </c>
      <c r="T39" s="8">
        <f t="shared" si="6"/>
        <v>1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  <c r="O40" s="8">
        <f t="shared" si="1"/>
        <v>1</v>
      </c>
      <c r="P40" s="8">
        <f t="shared" si="2"/>
        <v>0</v>
      </c>
      <c r="Q40" s="8">
        <f t="shared" si="3"/>
        <v>0</v>
      </c>
      <c r="R40" s="8">
        <f t="shared" si="4"/>
        <v>0</v>
      </c>
      <c r="S40" s="8">
        <f t="shared" si="5"/>
        <v>0</v>
      </c>
      <c r="T40" s="8">
        <f t="shared" si="6"/>
        <v>1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  <c r="O41" s="8">
        <f t="shared" si="1"/>
        <v>1</v>
      </c>
      <c r="P41" s="8">
        <f t="shared" si="2"/>
        <v>0</v>
      </c>
      <c r="Q41" s="8">
        <f t="shared" si="3"/>
        <v>0</v>
      </c>
      <c r="R41" s="8">
        <f t="shared" si="4"/>
        <v>0</v>
      </c>
      <c r="S41" s="8">
        <f t="shared" si="5"/>
        <v>0</v>
      </c>
      <c r="T41" s="8">
        <f t="shared" si="6"/>
        <v>1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  <c r="O42" s="8">
        <f t="shared" si="1"/>
        <v>0</v>
      </c>
      <c r="P42" s="8">
        <f t="shared" si="2"/>
        <v>0</v>
      </c>
      <c r="Q42" s="8">
        <f t="shared" si="3"/>
        <v>0</v>
      </c>
      <c r="R42" s="8">
        <f t="shared" si="4"/>
        <v>0</v>
      </c>
      <c r="S42" s="8">
        <f t="shared" si="5"/>
        <v>0</v>
      </c>
      <c r="T42" s="8">
        <f t="shared" si="6"/>
        <v>1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  <c r="O43" s="8">
        <f t="shared" si="1"/>
        <v>0</v>
      </c>
      <c r="P43" s="8">
        <f t="shared" si="2"/>
        <v>0</v>
      </c>
      <c r="Q43" s="8">
        <f t="shared" si="3"/>
        <v>0</v>
      </c>
      <c r="R43" s="8">
        <f t="shared" si="4"/>
        <v>0</v>
      </c>
      <c r="S43" s="8">
        <f t="shared" si="5"/>
        <v>0</v>
      </c>
      <c r="T43" s="8">
        <f t="shared" si="6"/>
        <v>1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  <c r="O44" s="8">
        <f t="shared" si="1"/>
        <v>0</v>
      </c>
      <c r="P44" s="8">
        <f t="shared" si="2"/>
        <v>0</v>
      </c>
      <c r="Q44" s="8">
        <f t="shared" si="3"/>
        <v>0</v>
      </c>
      <c r="R44" s="8">
        <f t="shared" si="4"/>
        <v>0</v>
      </c>
      <c r="S44" s="8">
        <f t="shared" si="5"/>
        <v>0</v>
      </c>
      <c r="T44" s="8">
        <f t="shared" si="6"/>
        <v>1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  <c r="O45" s="8">
        <f t="shared" si="1"/>
        <v>0</v>
      </c>
      <c r="P45" s="8">
        <f t="shared" si="2"/>
        <v>0</v>
      </c>
      <c r="Q45" s="8">
        <f t="shared" si="3"/>
        <v>0</v>
      </c>
      <c r="R45" s="8">
        <f t="shared" si="4"/>
        <v>0</v>
      </c>
      <c r="S45" s="8">
        <f t="shared" si="5"/>
        <v>0</v>
      </c>
      <c r="T45" s="8">
        <f t="shared" si="6"/>
        <v>1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  <c r="O46" s="8">
        <f t="shared" si="1"/>
        <v>0</v>
      </c>
      <c r="P46" s="8">
        <f t="shared" si="2"/>
        <v>0</v>
      </c>
      <c r="Q46" s="8">
        <f t="shared" si="3"/>
        <v>1</v>
      </c>
      <c r="R46" s="8">
        <f t="shared" si="4"/>
        <v>0</v>
      </c>
      <c r="S46" s="8">
        <f t="shared" si="5"/>
        <v>0</v>
      </c>
      <c r="T46" s="8">
        <f t="shared" si="6"/>
        <v>0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  <c r="O47" s="8">
        <f t="shared" si="1"/>
        <v>0</v>
      </c>
      <c r="P47" s="8">
        <f t="shared" si="2"/>
        <v>0</v>
      </c>
      <c r="Q47" s="8">
        <f t="shared" si="3"/>
        <v>1</v>
      </c>
      <c r="R47" s="8">
        <f t="shared" si="4"/>
        <v>0</v>
      </c>
      <c r="S47" s="8">
        <f t="shared" si="5"/>
        <v>0</v>
      </c>
      <c r="T47" s="8">
        <f t="shared" si="6"/>
        <v>0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  <c r="O48" s="8">
        <f t="shared" si="1"/>
        <v>0</v>
      </c>
      <c r="P48" s="8">
        <f t="shared" si="2"/>
        <v>0</v>
      </c>
      <c r="Q48" s="8">
        <f t="shared" si="3"/>
        <v>1</v>
      </c>
      <c r="R48" s="8">
        <f t="shared" si="4"/>
        <v>0</v>
      </c>
      <c r="S48" s="8">
        <f t="shared" si="5"/>
        <v>0</v>
      </c>
      <c r="T48" s="8">
        <f t="shared" si="6"/>
        <v>0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  <c r="O49" s="8">
        <f t="shared" si="1"/>
        <v>0</v>
      </c>
      <c r="P49" s="8">
        <f t="shared" si="2"/>
        <v>0</v>
      </c>
      <c r="Q49" s="8">
        <f t="shared" si="3"/>
        <v>1</v>
      </c>
      <c r="R49" s="8">
        <f t="shared" si="4"/>
        <v>0</v>
      </c>
      <c r="S49" s="8">
        <f t="shared" si="5"/>
        <v>0</v>
      </c>
      <c r="T49" s="8">
        <f t="shared" si="6"/>
        <v>0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  <c r="O50" s="8">
        <f t="shared" si="1"/>
        <v>1</v>
      </c>
      <c r="P50" s="8">
        <f t="shared" si="2"/>
        <v>0</v>
      </c>
      <c r="Q50" s="8">
        <f t="shared" si="3"/>
        <v>0</v>
      </c>
      <c r="R50" s="8">
        <f t="shared" si="4"/>
        <v>0</v>
      </c>
      <c r="S50" s="8">
        <f t="shared" si="5"/>
        <v>0</v>
      </c>
      <c r="T50" s="8">
        <f t="shared" si="6"/>
        <v>1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  <c r="O51" s="8">
        <f t="shared" si="1"/>
        <v>1</v>
      </c>
      <c r="P51" s="8">
        <f t="shared" si="2"/>
        <v>0</v>
      </c>
      <c r="Q51" s="8">
        <f t="shared" si="3"/>
        <v>0</v>
      </c>
      <c r="R51" s="8">
        <f t="shared" si="4"/>
        <v>0</v>
      </c>
      <c r="S51" s="8">
        <f t="shared" si="5"/>
        <v>0</v>
      </c>
      <c r="T51" s="8">
        <f t="shared" si="6"/>
        <v>1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  <c r="O52" s="8">
        <f t="shared" si="1"/>
        <v>1</v>
      </c>
      <c r="P52" s="8">
        <f t="shared" si="2"/>
        <v>0</v>
      </c>
      <c r="Q52" s="8">
        <f t="shared" si="3"/>
        <v>0</v>
      </c>
      <c r="R52" s="8">
        <f t="shared" si="4"/>
        <v>0</v>
      </c>
      <c r="S52" s="8">
        <f t="shared" si="5"/>
        <v>0</v>
      </c>
      <c r="T52" s="8">
        <f t="shared" si="6"/>
        <v>1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  <c r="O53" s="8">
        <f t="shared" si="1"/>
        <v>1</v>
      </c>
      <c r="P53" s="8">
        <f t="shared" si="2"/>
        <v>0</v>
      </c>
      <c r="Q53" s="8">
        <f t="shared" si="3"/>
        <v>0</v>
      </c>
      <c r="R53" s="8">
        <f t="shared" si="4"/>
        <v>0</v>
      </c>
      <c r="S53" s="8">
        <f t="shared" si="5"/>
        <v>0</v>
      </c>
      <c r="T53" s="8">
        <f t="shared" si="6"/>
        <v>1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  <c r="O54" s="8">
        <f t="shared" si="1"/>
        <v>0</v>
      </c>
      <c r="P54" s="8">
        <f t="shared" si="2"/>
        <v>0</v>
      </c>
      <c r="Q54" s="8">
        <f t="shared" si="3"/>
        <v>1</v>
      </c>
      <c r="R54" s="8">
        <f t="shared" si="4"/>
        <v>0</v>
      </c>
      <c r="S54" s="8">
        <f t="shared" si="5"/>
        <v>1</v>
      </c>
      <c r="T54" s="8">
        <f t="shared" si="6"/>
        <v>0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  <c r="O55" s="8">
        <f t="shared" si="1"/>
        <v>0</v>
      </c>
      <c r="P55" s="8">
        <f t="shared" si="2"/>
        <v>0</v>
      </c>
      <c r="Q55" s="8">
        <f t="shared" si="3"/>
        <v>1</v>
      </c>
      <c r="R55" s="8">
        <f t="shared" si="4"/>
        <v>0</v>
      </c>
      <c r="S55" s="8">
        <f t="shared" si="5"/>
        <v>1</v>
      </c>
      <c r="T55" s="8">
        <f t="shared" si="6"/>
        <v>0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  <c r="O56" s="8">
        <f t="shared" si="1"/>
        <v>0</v>
      </c>
      <c r="P56" s="8">
        <f t="shared" si="2"/>
        <v>0</v>
      </c>
      <c r="Q56" s="8">
        <f t="shared" si="3"/>
        <v>1</v>
      </c>
      <c r="R56" s="8">
        <f t="shared" si="4"/>
        <v>0</v>
      </c>
      <c r="S56" s="8">
        <f t="shared" si="5"/>
        <v>1</v>
      </c>
      <c r="T56" s="8">
        <f t="shared" si="6"/>
        <v>0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  <c r="O57" s="8">
        <f t="shared" si="1"/>
        <v>0</v>
      </c>
      <c r="P57" s="8">
        <f t="shared" si="2"/>
        <v>0</v>
      </c>
      <c r="Q57" s="8">
        <f t="shared" si="3"/>
        <v>1</v>
      </c>
      <c r="R57" s="8">
        <f t="shared" si="4"/>
        <v>0</v>
      </c>
      <c r="S57" s="8">
        <f t="shared" si="5"/>
        <v>1</v>
      </c>
      <c r="T57" s="8">
        <f t="shared" si="6"/>
        <v>0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  <c r="O58" s="8">
        <f t="shared" si="1"/>
        <v>0</v>
      </c>
      <c r="P58" s="8">
        <f t="shared" si="2"/>
        <v>0</v>
      </c>
      <c r="Q58" s="8">
        <f t="shared" si="3"/>
        <v>0</v>
      </c>
      <c r="R58" s="8">
        <f t="shared" si="4"/>
        <v>1</v>
      </c>
      <c r="S58" s="8">
        <f t="shared" si="5"/>
        <v>0</v>
      </c>
      <c r="T58" s="8">
        <f t="shared" si="6"/>
        <v>0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  <c r="O59" s="8">
        <f t="shared" si="1"/>
        <v>0</v>
      </c>
      <c r="P59" s="8">
        <f t="shared" si="2"/>
        <v>0</v>
      </c>
      <c r="Q59" s="8">
        <f t="shared" si="3"/>
        <v>0</v>
      </c>
      <c r="R59" s="8">
        <f t="shared" si="4"/>
        <v>1</v>
      </c>
      <c r="S59" s="8">
        <f t="shared" si="5"/>
        <v>0</v>
      </c>
      <c r="T59" s="8">
        <f t="shared" si="6"/>
        <v>0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  <c r="O60" s="8">
        <f t="shared" si="1"/>
        <v>0</v>
      </c>
      <c r="P60" s="8">
        <f t="shared" si="2"/>
        <v>0</v>
      </c>
      <c r="Q60" s="8">
        <f t="shared" si="3"/>
        <v>0</v>
      </c>
      <c r="R60" s="8">
        <f t="shared" si="4"/>
        <v>1</v>
      </c>
      <c r="S60" s="8">
        <f t="shared" si="5"/>
        <v>0</v>
      </c>
      <c r="T60" s="8">
        <f t="shared" si="6"/>
        <v>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  <c r="O61" s="8">
        <f t="shared" si="1"/>
        <v>0</v>
      </c>
      <c r="P61" s="8">
        <f t="shared" si="2"/>
        <v>0</v>
      </c>
      <c r="Q61" s="8">
        <f t="shared" si="3"/>
        <v>0</v>
      </c>
      <c r="R61" s="8">
        <f t="shared" si="4"/>
        <v>1</v>
      </c>
      <c r="S61" s="8">
        <f t="shared" si="5"/>
        <v>0</v>
      </c>
      <c r="T61" s="8">
        <f t="shared" si="6"/>
        <v>0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  <c r="O62" s="8">
        <f t="shared" si="1"/>
        <v>0</v>
      </c>
      <c r="P62" s="8">
        <f t="shared" si="2"/>
        <v>1</v>
      </c>
      <c r="Q62" s="8">
        <f t="shared" si="3"/>
        <v>0</v>
      </c>
      <c r="R62" s="8">
        <f t="shared" si="4"/>
        <v>0</v>
      </c>
      <c r="S62" s="8">
        <f t="shared" si="5"/>
        <v>1</v>
      </c>
      <c r="T62" s="8">
        <f t="shared" si="6"/>
        <v>0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  <c r="O63" s="8">
        <f t="shared" si="1"/>
        <v>0</v>
      </c>
      <c r="P63" s="8">
        <f t="shared" si="2"/>
        <v>1</v>
      </c>
      <c r="Q63" s="8">
        <f t="shared" si="3"/>
        <v>0</v>
      </c>
      <c r="R63" s="8">
        <f t="shared" si="4"/>
        <v>0</v>
      </c>
      <c r="S63" s="8">
        <f t="shared" si="5"/>
        <v>1</v>
      </c>
      <c r="T63" s="8">
        <f t="shared" si="6"/>
        <v>0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  <c r="O64" s="8">
        <f t="shared" si="1"/>
        <v>0</v>
      </c>
      <c r="P64" s="8">
        <f t="shared" si="2"/>
        <v>1</v>
      </c>
      <c r="Q64" s="8">
        <f t="shared" si="3"/>
        <v>0</v>
      </c>
      <c r="R64" s="8">
        <f t="shared" si="4"/>
        <v>0</v>
      </c>
      <c r="S64" s="8">
        <f t="shared" si="5"/>
        <v>1</v>
      </c>
      <c r="T64" s="8">
        <f t="shared" si="6"/>
        <v>0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  <c r="O65" s="8">
        <f t="shared" si="1"/>
        <v>0</v>
      </c>
      <c r="P65" s="8">
        <f t="shared" si="2"/>
        <v>1</v>
      </c>
      <c r="Q65" s="8">
        <f t="shared" si="3"/>
        <v>0</v>
      </c>
      <c r="R65" s="8">
        <f t="shared" si="4"/>
        <v>0</v>
      </c>
      <c r="S65" s="8">
        <f t="shared" si="5"/>
        <v>1</v>
      </c>
      <c r="T65" s="8">
        <f t="shared" si="6"/>
        <v>0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  <c r="O66" s="8">
        <f t="shared" si="1"/>
        <v>0</v>
      </c>
      <c r="P66" s="8">
        <f t="shared" si="2"/>
        <v>0</v>
      </c>
      <c r="Q66" s="8">
        <f t="shared" si="3"/>
        <v>1</v>
      </c>
      <c r="R66" s="8">
        <f t="shared" si="4"/>
        <v>0</v>
      </c>
      <c r="S66" s="8">
        <f t="shared" si="5"/>
        <v>1</v>
      </c>
      <c r="T66" s="8">
        <f t="shared" si="6"/>
        <v>0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  <c r="O67" s="8">
        <f t="shared" si="1"/>
        <v>0</v>
      </c>
      <c r="P67" s="8">
        <f t="shared" si="2"/>
        <v>0</v>
      </c>
      <c r="Q67" s="8">
        <f t="shared" si="3"/>
        <v>1</v>
      </c>
      <c r="R67" s="8">
        <f t="shared" si="4"/>
        <v>0</v>
      </c>
      <c r="S67" s="8">
        <f t="shared" si="5"/>
        <v>1</v>
      </c>
      <c r="T67" s="8">
        <f t="shared" si="6"/>
        <v>0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  <c r="O68" s="8">
        <f t="shared" si="1"/>
        <v>0</v>
      </c>
      <c r="P68" s="8">
        <f t="shared" si="2"/>
        <v>0</v>
      </c>
      <c r="Q68" s="8">
        <f t="shared" si="3"/>
        <v>1</v>
      </c>
      <c r="R68" s="8">
        <f t="shared" si="4"/>
        <v>0</v>
      </c>
      <c r="S68" s="8">
        <f t="shared" si="5"/>
        <v>1</v>
      </c>
      <c r="T68" s="8">
        <f t="shared" si="6"/>
        <v>0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  <c r="O69" s="8">
        <f t="shared" si="1"/>
        <v>0</v>
      </c>
      <c r="P69" s="8">
        <f t="shared" si="2"/>
        <v>0</v>
      </c>
      <c r="Q69" s="8">
        <f t="shared" si="3"/>
        <v>1</v>
      </c>
      <c r="R69" s="8">
        <f t="shared" si="4"/>
        <v>0</v>
      </c>
      <c r="S69" s="8">
        <f t="shared" si="5"/>
        <v>1</v>
      </c>
      <c r="T69" s="8">
        <f t="shared" si="6"/>
        <v>0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  <c r="O70" s="8">
        <f t="shared" si="1"/>
        <v>0</v>
      </c>
      <c r="P70" s="8">
        <f t="shared" si="2"/>
        <v>0</v>
      </c>
      <c r="Q70" s="8">
        <f t="shared" si="3"/>
        <v>0</v>
      </c>
      <c r="R70" s="8">
        <f t="shared" si="4"/>
        <v>0</v>
      </c>
      <c r="S70" s="8">
        <f t="shared" si="5"/>
        <v>1</v>
      </c>
      <c r="T70" s="8">
        <f t="shared" si="6"/>
        <v>0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  <c r="O71" s="8">
        <f t="shared" si="1"/>
        <v>0</v>
      </c>
      <c r="P71" s="8">
        <f t="shared" si="2"/>
        <v>0</v>
      </c>
      <c r="Q71" s="8">
        <f t="shared" si="3"/>
        <v>0</v>
      </c>
      <c r="R71" s="8">
        <f t="shared" si="4"/>
        <v>0</v>
      </c>
      <c r="S71" s="8">
        <f t="shared" si="5"/>
        <v>1</v>
      </c>
      <c r="T71" s="8">
        <f t="shared" si="6"/>
        <v>0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  <c r="O72" s="8">
        <f t="shared" si="1"/>
        <v>0</v>
      </c>
      <c r="P72" s="8">
        <f t="shared" si="2"/>
        <v>0</v>
      </c>
      <c r="Q72" s="8">
        <f t="shared" si="3"/>
        <v>0</v>
      </c>
      <c r="R72" s="8">
        <f t="shared" si="4"/>
        <v>0</v>
      </c>
      <c r="S72" s="8">
        <f t="shared" si="5"/>
        <v>1</v>
      </c>
      <c r="T72" s="8">
        <f t="shared" si="6"/>
        <v>0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6">
        <v>4.56</v>
      </c>
      <c r="K73" s="4">
        <v>0.0</v>
      </c>
      <c r="L73" s="4">
        <v>3.5</v>
      </c>
      <c r="M73" s="4">
        <v>674774.09</v>
      </c>
      <c r="N73" s="4">
        <v>141917.59</v>
      </c>
      <c r="O73" s="8">
        <f t="shared" si="1"/>
        <v>0</v>
      </c>
      <c r="P73" s="8">
        <f t="shared" si="2"/>
        <v>0</v>
      </c>
      <c r="Q73" s="8">
        <f t="shared" si="3"/>
        <v>0</v>
      </c>
      <c r="R73" s="8">
        <f t="shared" si="4"/>
        <v>0</v>
      </c>
      <c r="S73" s="8">
        <f t="shared" si="5"/>
        <v>1</v>
      </c>
      <c r="T73" s="8">
        <f t="shared" si="6"/>
        <v>0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  <c r="O74" s="8">
        <f t="shared" si="1"/>
        <v>0</v>
      </c>
      <c r="P74" s="8">
        <f t="shared" si="2"/>
        <v>0</v>
      </c>
      <c r="Q74" s="8">
        <f t="shared" si="3"/>
        <v>0</v>
      </c>
      <c r="R74" s="8">
        <f t="shared" si="4"/>
        <v>0</v>
      </c>
      <c r="S74" s="8">
        <f t="shared" si="5"/>
        <v>0</v>
      </c>
      <c r="T74" s="8">
        <f t="shared" si="6"/>
        <v>0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  <c r="O75" s="8">
        <f t="shared" si="1"/>
        <v>0</v>
      </c>
      <c r="P75" s="8">
        <f t="shared" si="2"/>
        <v>0</v>
      </c>
      <c r="Q75" s="8">
        <f t="shared" si="3"/>
        <v>0</v>
      </c>
      <c r="R75" s="8">
        <f t="shared" si="4"/>
        <v>0</v>
      </c>
      <c r="S75" s="8">
        <f t="shared" si="5"/>
        <v>0</v>
      </c>
      <c r="T75" s="8">
        <f t="shared" si="6"/>
        <v>0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  <c r="O76" s="8">
        <f t="shared" si="1"/>
        <v>0</v>
      </c>
      <c r="P76" s="8">
        <f t="shared" si="2"/>
        <v>0</v>
      </c>
      <c r="Q76" s="8">
        <f t="shared" si="3"/>
        <v>0</v>
      </c>
      <c r="R76" s="8">
        <f t="shared" si="4"/>
        <v>0</v>
      </c>
      <c r="S76" s="8">
        <f t="shared" si="5"/>
        <v>0</v>
      </c>
      <c r="T76" s="8">
        <f t="shared" si="6"/>
        <v>0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  <c r="O77" s="8">
        <f t="shared" si="1"/>
        <v>0</v>
      </c>
      <c r="P77" s="8">
        <f t="shared" si="2"/>
        <v>0</v>
      </c>
      <c r="Q77" s="8">
        <f t="shared" si="3"/>
        <v>0</v>
      </c>
      <c r="R77" s="8">
        <f t="shared" si="4"/>
        <v>0</v>
      </c>
      <c r="S77" s="8">
        <f t="shared" si="5"/>
        <v>0</v>
      </c>
      <c r="T77" s="8">
        <f t="shared" si="6"/>
        <v>0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  <c r="O78" s="8">
        <f t="shared" si="1"/>
        <v>0</v>
      </c>
      <c r="P78" s="8">
        <f t="shared" si="2"/>
        <v>1</v>
      </c>
      <c r="Q78" s="8">
        <f t="shared" si="3"/>
        <v>0</v>
      </c>
      <c r="R78" s="8">
        <f t="shared" si="4"/>
        <v>0</v>
      </c>
      <c r="S78" s="8">
        <f t="shared" si="5"/>
        <v>1</v>
      </c>
      <c r="T78" s="8">
        <f t="shared" si="6"/>
        <v>0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  <c r="O79" s="8">
        <f t="shared" si="1"/>
        <v>0</v>
      </c>
      <c r="P79" s="8">
        <f t="shared" si="2"/>
        <v>1</v>
      </c>
      <c r="Q79" s="8">
        <f t="shared" si="3"/>
        <v>0</v>
      </c>
      <c r="R79" s="8">
        <f t="shared" si="4"/>
        <v>0</v>
      </c>
      <c r="S79" s="8">
        <f t="shared" si="5"/>
        <v>1</v>
      </c>
      <c r="T79" s="8">
        <f t="shared" si="6"/>
        <v>0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  <c r="O80" s="8">
        <f t="shared" si="1"/>
        <v>0</v>
      </c>
      <c r="P80" s="8">
        <f t="shared" si="2"/>
        <v>1</v>
      </c>
      <c r="Q80" s="8">
        <f t="shared" si="3"/>
        <v>0</v>
      </c>
      <c r="R80" s="8">
        <f t="shared" si="4"/>
        <v>0</v>
      </c>
      <c r="S80" s="8">
        <f t="shared" si="5"/>
        <v>1</v>
      </c>
      <c r="T80" s="8">
        <f t="shared" si="6"/>
        <v>0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  <c r="O81" s="8">
        <f t="shared" si="1"/>
        <v>0</v>
      </c>
      <c r="P81" s="8">
        <f t="shared" si="2"/>
        <v>1</v>
      </c>
      <c r="Q81" s="8">
        <f t="shared" si="3"/>
        <v>0</v>
      </c>
      <c r="R81" s="8">
        <f t="shared" si="4"/>
        <v>0</v>
      </c>
      <c r="S81" s="8">
        <f t="shared" si="5"/>
        <v>1</v>
      </c>
      <c r="T81" s="8">
        <f t="shared" si="6"/>
        <v>0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  <c r="O82" s="8">
        <f t="shared" si="1"/>
        <v>0</v>
      </c>
      <c r="P82" s="8">
        <f t="shared" si="2"/>
        <v>0</v>
      </c>
      <c r="Q82" s="8">
        <f t="shared" si="3"/>
        <v>1</v>
      </c>
      <c r="R82" s="8">
        <f t="shared" si="4"/>
        <v>0</v>
      </c>
      <c r="S82" s="8">
        <f t="shared" si="5"/>
        <v>0</v>
      </c>
      <c r="T82" s="8">
        <f t="shared" si="6"/>
        <v>1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  <c r="O83" s="8">
        <f t="shared" si="1"/>
        <v>0</v>
      </c>
      <c r="P83" s="8">
        <f t="shared" si="2"/>
        <v>0</v>
      </c>
      <c r="Q83" s="8">
        <f t="shared" si="3"/>
        <v>1</v>
      </c>
      <c r="R83" s="8">
        <f t="shared" si="4"/>
        <v>0</v>
      </c>
      <c r="S83" s="8">
        <f t="shared" si="5"/>
        <v>0</v>
      </c>
      <c r="T83" s="8">
        <f t="shared" si="6"/>
        <v>1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  <c r="O84" s="8">
        <f t="shared" si="1"/>
        <v>0</v>
      </c>
      <c r="P84" s="8">
        <f t="shared" si="2"/>
        <v>0</v>
      </c>
      <c r="Q84" s="8">
        <f t="shared" si="3"/>
        <v>1</v>
      </c>
      <c r="R84" s="8">
        <f t="shared" si="4"/>
        <v>0</v>
      </c>
      <c r="S84" s="8">
        <f t="shared" si="5"/>
        <v>0</v>
      </c>
      <c r="T84" s="8">
        <f t="shared" si="6"/>
        <v>1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  <c r="O85" s="8">
        <f t="shared" si="1"/>
        <v>0</v>
      </c>
      <c r="P85" s="8">
        <f t="shared" si="2"/>
        <v>0</v>
      </c>
      <c r="Q85" s="8">
        <f t="shared" si="3"/>
        <v>1</v>
      </c>
      <c r="R85" s="8">
        <f t="shared" si="4"/>
        <v>0</v>
      </c>
      <c r="S85" s="8">
        <f t="shared" si="5"/>
        <v>0</v>
      </c>
      <c r="T85" s="8">
        <f t="shared" si="6"/>
        <v>1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  <c r="O86" s="8">
        <f t="shared" si="1"/>
        <v>0</v>
      </c>
      <c r="P86" s="8">
        <f t="shared" si="2"/>
        <v>0</v>
      </c>
      <c r="Q86" s="8">
        <f t="shared" si="3"/>
        <v>1</v>
      </c>
      <c r="R86" s="8">
        <f t="shared" si="4"/>
        <v>0</v>
      </c>
      <c r="S86" s="8">
        <f t="shared" si="5"/>
        <v>1</v>
      </c>
      <c r="T86" s="8">
        <f t="shared" si="6"/>
        <v>0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6">
        <v>3.92</v>
      </c>
      <c r="M87" s="4">
        <v>611766.72</v>
      </c>
      <c r="N87" s="4">
        <v>88275.61</v>
      </c>
      <c r="O87" s="8">
        <f t="shared" si="1"/>
        <v>0</v>
      </c>
      <c r="P87" s="8">
        <f t="shared" si="2"/>
        <v>0</v>
      </c>
      <c r="Q87" s="8">
        <f t="shared" si="3"/>
        <v>1</v>
      </c>
      <c r="R87" s="8">
        <f t="shared" si="4"/>
        <v>0</v>
      </c>
      <c r="S87" s="8">
        <f t="shared" si="5"/>
        <v>1</v>
      </c>
      <c r="T87" s="8">
        <f t="shared" si="6"/>
        <v>0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  <c r="O88" s="8">
        <f t="shared" si="1"/>
        <v>0</v>
      </c>
      <c r="P88" s="8">
        <f t="shared" si="2"/>
        <v>0</v>
      </c>
      <c r="Q88" s="8">
        <f t="shared" si="3"/>
        <v>1</v>
      </c>
      <c r="R88" s="8">
        <f t="shared" si="4"/>
        <v>0</v>
      </c>
      <c r="S88" s="8">
        <f t="shared" si="5"/>
        <v>1</v>
      </c>
      <c r="T88" s="8">
        <f t="shared" si="6"/>
        <v>0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  <c r="O89" s="8">
        <f t="shared" si="1"/>
        <v>0</v>
      </c>
      <c r="P89" s="8">
        <f t="shared" si="2"/>
        <v>0</v>
      </c>
      <c r="Q89" s="8">
        <f t="shared" si="3"/>
        <v>1</v>
      </c>
      <c r="R89" s="8">
        <f t="shared" si="4"/>
        <v>0</v>
      </c>
      <c r="S89" s="8">
        <f t="shared" si="5"/>
        <v>1</v>
      </c>
      <c r="T89" s="8">
        <f t="shared" si="6"/>
        <v>0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  <c r="O90" s="8">
        <f t="shared" si="1"/>
        <v>0</v>
      </c>
      <c r="P90" s="8">
        <f t="shared" si="2"/>
        <v>1</v>
      </c>
      <c r="Q90" s="8">
        <f t="shared" si="3"/>
        <v>0</v>
      </c>
      <c r="R90" s="8">
        <f t="shared" si="4"/>
        <v>0</v>
      </c>
      <c r="S90" s="8">
        <f t="shared" si="5"/>
        <v>0</v>
      </c>
      <c r="T90" s="8">
        <f t="shared" si="6"/>
        <v>1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  <c r="O91" s="8">
        <f t="shared" si="1"/>
        <v>0</v>
      </c>
      <c r="P91" s="8">
        <f t="shared" si="2"/>
        <v>1</v>
      </c>
      <c r="Q91" s="8">
        <f t="shared" si="3"/>
        <v>0</v>
      </c>
      <c r="R91" s="8">
        <f t="shared" si="4"/>
        <v>0</v>
      </c>
      <c r="S91" s="8">
        <f t="shared" si="5"/>
        <v>0</v>
      </c>
      <c r="T91" s="8">
        <f t="shared" si="6"/>
        <v>1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  <c r="O92" s="8">
        <f t="shared" si="1"/>
        <v>0</v>
      </c>
      <c r="P92" s="8">
        <f t="shared" si="2"/>
        <v>1</v>
      </c>
      <c r="Q92" s="8">
        <f t="shared" si="3"/>
        <v>0</v>
      </c>
      <c r="R92" s="8">
        <f t="shared" si="4"/>
        <v>0</v>
      </c>
      <c r="S92" s="8">
        <f t="shared" si="5"/>
        <v>0</v>
      </c>
      <c r="T92" s="8">
        <f t="shared" si="6"/>
        <v>1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  <c r="O93" s="8">
        <f t="shared" si="1"/>
        <v>0</v>
      </c>
      <c r="P93" s="8">
        <f t="shared" si="2"/>
        <v>1</v>
      </c>
      <c r="Q93" s="8">
        <f t="shared" si="3"/>
        <v>0</v>
      </c>
      <c r="R93" s="8">
        <f t="shared" si="4"/>
        <v>0</v>
      </c>
      <c r="S93" s="8">
        <f t="shared" si="5"/>
        <v>0</v>
      </c>
      <c r="T93" s="8">
        <f t="shared" si="6"/>
        <v>1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  <c r="O94" s="8">
        <f t="shared" si="1"/>
        <v>0</v>
      </c>
      <c r="P94" s="8">
        <f t="shared" si="2"/>
        <v>0</v>
      </c>
      <c r="Q94" s="8">
        <f t="shared" si="3"/>
        <v>1</v>
      </c>
      <c r="R94" s="8">
        <f t="shared" si="4"/>
        <v>0</v>
      </c>
      <c r="S94" s="8">
        <f t="shared" si="5"/>
        <v>0</v>
      </c>
      <c r="T94" s="8">
        <f t="shared" si="6"/>
        <v>0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  <c r="O95" s="8">
        <f t="shared" si="1"/>
        <v>0</v>
      </c>
      <c r="P95" s="8">
        <f t="shared" si="2"/>
        <v>0</v>
      </c>
      <c r="Q95" s="8">
        <f t="shared" si="3"/>
        <v>1</v>
      </c>
      <c r="R95" s="8">
        <f t="shared" si="4"/>
        <v>0</v>
      </c>
      <c r="S95" s="8">
        <f t="shared" si="5"/>
        <v>0</v>
      </c>
      <c r="T95" s="8">
        <f t="shared" si="6"/>
        <v>0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  <c r="O96" s="8">
        <f t="shared" si="1"/>
        <v>0</v>
      </c>
      <c r="P96" s="8">
        <f t="shared" si="2"/>
        <v>0</v>
      </c>
      <c r="Q96" s="8">
        <f t="shared" si="3"/>
        <v>1</v>
      </c>
      <c r="R96" s="8">
        <f t="shared" si="4"/>
        <v>0</v>
      </c>
      <c r="S96" s="8">
        <f t="shared" si="5"/>
        <v>0</v>
      </c>
      <c r="T96" s="8">
        <f t="shared" si="6"/>
        <v>0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  <c r="O97" s="8">
        <f t="shared" si="1"/>
        <v>0</v>
      </c>
      <c r="P97" s="8">
        <f t="shared" si="2"/>
        <v>0</v>
      </c>
      <c r="Q97" s="8">
        <f t="shared" si="3"/>
        <v>1</v>
      </c>
      <c r="R97" s="8">
        <f t="shared" si="4"/>
        <v>0</v>
      </c>
      <c r="S97" s="8">
        <f t="shared" si="5"/>
        <v>0</v>
      </c>
      <c r="T97" s="8">
        <f t="shared" si="6"/>
        <v>0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  <c r="O98" s="8">
        <f t="shared" si="1"/>
        <v>0</v>
      </c>
      <c r="P98" s="8">
        <f t="shared" si="2"/>
        <v>0</v>
      </c>
      <c r="Q98" s="8">
        <f t="shared" si="3"/>
        <v>1</v>
      </c>
      <c r="R98" s="8">
        <f t="shared" si="4"/>
        <v>0</v>
      </c>
      <c r="S98" s="8">
        <f t="shared" si="5"/>
        <v>0</v>
      </c>
      <c r="T98" s="8">
        <f t="shared" si="6"/>
        <v>1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  <c r="O99" s="8">
        <f t="shared" si="1"/>
        <v>0</v>
      </c>
      <c r="P99" s="8">
        <f t="shared" si="2"/>
        <v>0</v>
      </c>
      <c r="Q99" s="8">
        <f t="shared" si="3"/>
        <v>1</v>
      </c>
      <c r="R99" s="8">
        <f t="shared" si="4"/>
        <v>0</v>
      </c>
      <c r="S99" s="8">
        <f t="shared" si="5"/>
        <v>0</v>
      </c>
      <c r="T99" s="8">
        <f t="shared" si="6"/>
        <v>1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6">
        <v>4.56</v>
      </c>
      <c r="K100" s="4">
        <v>0.0</v>
      </c>
      <c r="L100" s="4">
        <v>4.3</v>
      </c>
      <c r="M100" s="4">
        <v>605775.33</v>
      </c>
      <c r="N100" s="4">
        <v>107194.6</v>
      </c>
      <c r="O100" s="8">
        <f t="shared" si="1"/>
        <v>0</v>
      </c>
      <c r="P100" s="8">
        <f t="shared" si="2"/>
        <v>0</v>
      </c>
      <c r="Q100" s="8">
        <f t="shared" si="3"/>
        <v>1</v>
      </c>
      <c r="R100" s="8">
        <f t="shared" si="4"/>
        <v>0</v>
      </c>
      <c r="S100" s="8">
        <f t="shared" si="5"/>
        <v>0</v>
      </c>
      <c r="T100" s="8">
        <f t="shared" si="6"/>
        <v>1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  <c r="O101" s="8">
        <f t="shared" si="1"/>
        <v>0</v>
      </c>
      <c r="P101" s="8">
        <f t="shared" si="2"/>
        <v>0</v>
      </c>
      <c r="Q101" s="8">
        <f t="shared" si="3"/>
        <v>1</v>
      </c>
      <c r="R101" s="8">
        <f t="shared" si="4"/>
        <v>0</v>
      </c>
      <c r="S101" s="8">
        <f t="shared" si="5"/>
        <v>0</v>
      </c>
      <c r="T101" s="8">
        <f t="shared" si="6"/>
        <v>1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  <c r="O102" s="8">
        <f t="shared" si="1"/>
        <v>0</v>
      </c>
      <c r="P102" s="8">
        <f t="shared" si="2"/>
        <v>0</v>
      </c>
      <c r="Q102" s="8">
        <f t="shared" si="3"/>
        <v>0</v>
      </c>
      <c r="R102" s="8">
        <f t="shared" si="4"/>
        <v>0</v>
      </c>
      <c r="S102" s="8">
        <f t="shared" si="5"/>
        <v>0</v>
      </c>
      <c r="T102" s="8">
        <f t="shared" si="6"/>
        <v>1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  <c r="O103" s="8">
        <f t="shared" si="1"/>
        <v>0</v>
      </c>
      <c r="P103" s="8">
        <f t="shared" si="2"/>
        <v>0</v>
      </c>
      <c r="Q103" s="8">
        <f t="shared" si="3"/>
        <v>0</v>
      </c>
      <c r="R103" s="8">
        <f t="shared" si="4"/>
        <v>0</v>
      </c>
      <c r="S103" s="8">
        <f t="shared" si="5"/>
        <v>0</v>
      </c>
      <c r="T103" s="8">
        <f t="shared" si="6"/>
        <v>1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  <c r="O104" s="8">
        <f t="shared" si="1"/>
        <v>0</v>
      </c>
      <c r="P104" s="8">
        <f t="shared" si="2"/>
        <v>0</v>
      </c>
      <c r="Q104" s="8">
        <f t="shared" si="3"/>
        <v>0</v>
      </c>
      <c r="R104" s="8">
        <f t="shared" si="4"/>
        <v>0</v>
      </c>
      <c r="S104" s="8">
        <f t="shared" si="5"/>
        <v>0</v>
      </c>
      <c r="T104" s="8">
        <f t="shared" si="6"/>
        <v>1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  <c r="O105" s="8">
        <f t="shared" si="1"/>
        <v>0</v>
      </c>
      <c r="P105" s="8">
        <f t="shared" si="2"/>
        <v>0</v>
      </c>
      <c r="Q105" s="8">
        <f t="shared" si="3"/>
        <v>0</v>
      </c>
      <c r="R105" s="8">
        <f t="shared" si="4"/>
        <v>0</v>
      </c>
      <c r="S105" s="8">
        <f t="shared" si="5"/>
        <v>0</v>
      </c>
      <c r="T105" s="8">
        <f t="shared" si="6"/>
        <v>1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  <c r="O106" s="8">
        <f t="shared" si="1"/>
        <v>0</v>
      </c>
      <c r="P106" s="8">
        <f t="shared" si="2"/>
        <v>0</v>
      </c>
      <c r="Q106" s="8">
        <f t="shared" si="3"/>
        <v>1</v>
      </c>
      <c r="R106" s="8">
        <f t="shared" si="4"/>
        <v>0</v>
      </c>
      <c r="S106" s="8">
        <f t="shared" si="5"/>
        <v>1</v>
      </c>
      <c r="T106" s="8">
        <f t="shared" si="6"/>
        <v>0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  <c r="O107" s="8">
        <f t="shared" si="1"/>
        <v>0</v>
      </c>
      <c r="P107" s="8">
        <f t="shared" si="2"/>
        <v>0</v>
      </c>
      <c r="Q107" s="8">
        <f t="shared" si="3"/>
        <v>1</v>
      </c>
      <c r="R107" s="8">
        <f t="shared" si="4"/>
        <v>0</v>
      </c>
      <c r="S107" s="8">
        <f t="shared" si="5"/>
        <v>1</v>
      </c>
      <c r="T107" s="8">
        <f t="shared" si="6"/>
        <v>0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  <c r="O108" s="8">
        <f t="shared" si="1"/>
        <v>0</v>
      </c>
      <c r="P108" s="8">
        <f t="shared" si="2"/>
        <v>0</v>
      </c>
      <c r="Q108" s="8">
        <f t="shared" si="3"/>
        <v>1</v>
      </c>
      <c r="R108" s="8">
        <f t="shared" si="4"/>
        <v>0</v>
      </c>
      <c r="S108" s="8">
        <f t="shared" si="5"/>
        <v>1</v>
      </c>
      <c r="T108" s="8">
        <f t="shared" si="6"/>
        <v>0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  <c r="O109" s="8">
        <f t="shared" si="1"/>
        <v>0</v>
      </c>
      <c r="P109" s="8">
        <f t="shared" si="2"/>
        <v>0</v>
      </c>
      <c r="Q109" s="8">
        <f t="shared" si="3"/>
        <v>1</v>
      </c>
      <c r="R109" s="8">
        <f t="shared" si="4"/>
        <v>0</v>
      </c>
      <c r="S109" s="8">
        <f t="shared" si="5"/>
        <v>1</v>
      </c>
      <c r="T109" s="8">
        <f t="shared" si="6"/>
        <v>0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  <c r="O110" s="8">
        <f t="shared" si="1"/>
        <v>0</v>
      </c>
      <c r="P110" s="8">
        <f t="shared" si="2"/>
        <v>0</v>
      </c>
      <c r="Q110" s="8">
        <f t="shared" si="3"/>
        <v>0</v>
      </c>
      <c r="R110" s="8">
        <f t="shared" si="4"/>
        <v>0</v>
      </c>
      <c r="S110" s="8">
        <f t="shared" si="5"/>
        <v>0</v>
      </c>
      <c r="T110" s="8">
        <f t="shared" si="6"/>
        <v>1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  <c r="O111" s="8">
        <f t="shared" si="1"/>
        <v>0</v>
      </c>
      <c r="P111" s="8">
        <f t="shared" si="2"/>
        <v>0</v>
      </c>
      <c r="Q111" s="8">
        <f t="shared" si="3"/>
        <v>0</v>
      </c>
      <c r="R111" s="8">
        <f t="shared" si="4"/>
        <v>0</v>
      </c>
      <c r="S111" s="8">
        <f t="shared" si="5"/>
        <v>0</v>
      </c>
      <c r="T111" s="8">
        <f t="shared" si="6"/>
        <v>1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  <c r="O112" s="8">
        <f t="shared" si="1"/>
        <v>0</v>
      </c>
      <c r="P112" s="8">
        <f t="shared" si="2"/>
        <v>0</v>
      </c>
      <c r="Q112" s="8">
        <f t="shared" si="3"/>
        <v>0</v>
      </c>
      <c r="R112" s="8">
        <f t="shared" si="4"/>
        <v>0</v>
      </c>
      <c r="S112" s="8">
        <f t="shared" si="5"/>
        <v>0</v>
      </c>
      <c r="T112" s="8">
        <f t="shared" si="6"/>
        <v>1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  <c r="O113" s="8">
        <f t="shared" si="1"/>
        <v>0</v>
      </c>
      <c r="P113" s="8">
        <f t="shared" si="2"/>
        <v>0</v>
      </c>
      <c r="Q113" s="8">
        <f t="shared" si="3"/>
        <v>0</v>
      </c>
      <c r="R113" s="8">
        <f t="shared" si="4"/>
        <v>0</v>
      </c>
      <c r="S113" s="8">
        <f t="shared" si="5"/>
        <v>0</v>
      </c>
      <c r="T113" s="8">
        <f t="shared" si="6"/>
        <v>1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  <c r="O114" s="8">
        <f t="shared" si="1"/>
        <v>0</v>
      </c>
      <c r="P114" s="8">
        <f t="shared" si="2"/>
        <v>0</v>
      </c>
      <c r="Q114" s="8">
        <f t="shared" si="3"/>
        <v>1</v>
      </c>
      <c r="R114" s="8">
        <f t="shared" si="4"/>
        <v>0</v>
      </c>
      <c r="S114" s="8">
        <f t="shared" si="5"/>
        <v>0</v>
      </c>
      <c r="T114" s="8">
        <f t="shared" si="6"/>
        <v>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  <c r="O115" s="8">
        <f t="shared" si="1"/>
        <v>0</v>
      </c>
      <c r="P115" s="8">
        <f t="shared" si="2"/>
        <v>0</v>
      </c>
      <c r="Q115" s="8">
        <f t="shared" si="3"/>
        <v>1</v>
      </c>
      <c r="R115" s="8">
        <f t="shared" si="4"/>
        <v>0</v>
      </c>
      <c r="S115" s="8">
        <f t="shared" si="5"/>
        <v>0</v>
      </c>
      <c r="T115" s="8">
        <f t="shared" si="6"/>
        <v>1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  <c r="O116" s="8">
        <f t="shared" si="1"/>
        <v>0</v>
      </c>
      <c r="P116" s="8">
        <f t="shared" si="2"/>
        <v>0</v>
      </c>
      <c r="Q116" s="8">
        <f t="shared" si="3"/>
        <v>1</v>
      </c>
      <c r="R116" s="8">
        <f t="shared" si="4"/>
        <v>0</v>
      </c>
      <c r="S116" s="8">
        <f t="shared" si="5"/>
        <v>0</v>
      </c>
      <c r="T116" s="8">
        <f t="shared" si="6"/>
        <v>1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  <c r="O117" s="8">
        <f t="shared" si="1"/>
        <v>0</v>
      </c>
      <c r="P117" s="8">
        <f t="shared" si="2"/>
        <v>0</v>
      </c>
      <c r="Q117" s="8">
        <f t="shared" si="3"/>
        <v>1</v>
      </c>
      <c r="R117" s="8">
        <f t="shared" si="4"/>
        <v>0</v>
      </c>
      <c r="S117" s="8">
        <f t="shared" si="5"/>
        <v>0</v>
      </c>
      <c r="T117" s="8">
        <f t="shared" si="6"/>
        <v>1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  <c r="O118" s="8">
        <f t="shared" si="1"/>
        <v>0</v>
      </c>
      <c r="P118" s="8">
        <f t="shared" si="2"/>
        <v>0</v>
      </c>
      <c r="Q118" s="8">
        <f t="shared" si="3"/>
        <v>1</v>
      </c>
      <c r="R118" s="8">
        <f t="shared" si="4"/>
        <v>0</v>
      </c>
      <c r="S118" s="8">
        <f t="shared" si="5"/>
        <v>0</v>
      </c>
      <c r="T118" s="8">
        <f t="shared" si="6"/>
        <v>0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  <c r="O119" s="8">
        <f t="shared" si="1"/>
        <v>0</v>
      </c>
      <c r="P119" s="8">
        <f t="shared" si="2"/>
        <v>0</v>
      </c>
      <c r="Q119" s="8">
        <f t="shared" si="3"/>
        <v>1</v>
      </c>
      <c r="R119" s="8">
        <f t="shared" si="4"/>
        <v>0</v>
      </c>
      <c r="S119" s="8">
        <f t="shared" si="5"/>
        <v>0</v>
      </c>
      <c r="T119" s="8">
        <f t="shared" si="6"/>
        <v>0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  <c r="O120" s="8">
        <f t="shared" si="1"/>
        <v>0</v>
      </c>
      <c r="P120" s="8">
        <f t="shared" si="2"/>
        <v>0</v>
      </c>
      <c r="Q120" s="8">
        <f t="shared" si="3"/>
        <v>1</v>
      </c>
      <c r="R120" s="8">
        <f t="shared" si="4"/>
        <v>0</v>
      </c>
      <c r="S120" s="8">
        <f t="shared" si="5"/>
        <v>0</v>
      </c>
      <c r="T120" s="8">
        <f t="shared" si="6"/>
        <v>0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  <c r="O121" s="8">
        <f t="shared" si="1"/>
        <v>0</v>
      </c>
      <c r="P121" s="8">
        <f t="shared" si="2"/>
        <v>0</v>
      </c>
      <c r="Q121" s="8">
        <f t="shared" si="3"/>
        <v>1</v>
      </c>
      <c r="R121" s="8">
        <f t="shared" si="4"/>
        <v>0</v>
      </c>
      <c r="S121" s="8">
        <f t="shared" si="5"/>
        <v>0</v>
      </c>
      <c r="T121" s="8">
        <f t="shared" si="6"/>
        <v>0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  <c r="O122" s="8">
        <f t="shared" si="1"/>
        <v>1</v>
      </c>
      <c r="P122" s="8">
        <f t="shared" si="2"/>
        <v>0</v>
      </c>
      <c r="Q122" s="8">
        <f t="shared" si="3"/>
        <v>0</v>
      </c>
      <c r="R122" s="8">
        <f t="shared" si="4"/>
        <v>0</v>
      </c>
      <c r="S122" s="8">
        <f t="shared" si="5"/>
        <v>1</v>
      </c>
      <c r="T122" s="8">
        <f t="shared" si="6"/>
        <v>0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  <c r="O123" s="8">
        <f t="shared" si="1"/>
        <v>1</v>
      </c>
      <c r="P123" s="8">
        <f t="shared" si="2"/>
        <v>0</v>
      </c>
      <c r="Q123" s="8">
        <f t="shared" si="3"/>
        <v>0</v>
      </c>
      <c r="R123" s="8">
        <f t="shared" si="4"/>
        <v>0</v>
      </c>
      <c r="S123" s="8">
        <f t="shared" si="5"/>
        <v>1</v>
      </c>
      <c r="T123" s="8">
        <f t="shared" si="6"/>
        <v>0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  <c r="O124" s="8">
        <f t="shared" si="1"/>
        <v>1</v>
      </c>
      <c r="P124" s="8">
        <f t="shared" si="2"/>
        <v>0</v>
      </c>
      <c r="Q124" s="8">
        <f t="shared" si="3"/>
        <v>0</v>
      </c>
      <c r="R124" s="8">
        <f t="shared" si="4"/>
        <v>0</v>
      </c>
      <c r="S124" s="8">
        <f t="shared" si="5"/>
        <v>1</v>
      </c>
      <c r="T124" s="8">
        <f t="shared" si="6"/>
        <v>0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  <c r="O125" s="8">
        <f t="shared" si="1"/>
        <v>1</v>
      </c>
      <c r="P125" s="8">
        <f t="shared" si="2"/>
        <v>0</v>
      </c>
      <c r="Q125" s="8">
        <f t="shared" si="3"/>
        <v>0</v>
      </c>
      <c r="R125" s="8">
        <f t="shared" si="4"/>
        <v>0</v>
      </c>
      <c r="S125" s="8">
        <f t="shared" si="5"/>
        <v>1</v>
      </c>
      <c r="T125" s="8">
        <f t="shared" si="6"/>
        <v>0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  <c r="O126" s="8">
        <f t="shared" si="1"/>
        <v>0</v>
      </c>
      <c r="P126" s="8">
        <f t="shared" si="2"/>
        <v>1</v>
      </c>
      <c r="Q126" s="8">
        <f t="shared" si="3"/>
        <v>0</v>
      </c>
      <c r="R126" s="8">
        <f t="shared" si="4"/>
        <v>0</v>
      </c>
      <c r="S126" s="8">
        <f t="shared" si="5"/>
        <v>1</v>
      </c>
      <c r="T126" s="8">
        <f t="shared" si="6"/>
        <v>0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  <c r="O127" s="8">
        <f t="shared" si="1"/>
        <v>0</v>
      </c>
      <c r="P127" s="8">
        <f t="shared" si="2"/>
        <v>1</v>
      </c>
      <c r="Q127" s="8">
        <f t="shared" si="3"/>
        <v>0</v>
      </c>
      <c r="R127" s="8">
        <f t="shared" si="4"/>
        <v>0</v>
      </c>
      <c r="S127" s="8">
        <f t="shared" si="5"/>
        <v>1</v>
      </c>
      <c r="T127" s="8">
        <f t="shared" si="6"/>
        <v>0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  <c r="O128" s="8">
        <f t="shared" si="1"/>
        <v>0</v>
      </c>
      <c r="P128" s="8">
        <f t="shared" si="2"/>
        <v>1</v>
      </c>
      <c r="Q128" s="8">
        <f t="shared" si="3"/>
        <v>0</v>
      </c>
      <c r="R128" s="8">
        <f t="shared" si="4"/>
        <v>0</v>
      </c>
      <c r="S128" s="8">
        <f t="shared" si="5"/>
        <v>1</v>
      </c>
      <c r="T128" s="8">
        <f t="shared" si="6"/>
        <v>0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  <c r="O129" s="8">
        <f t="shared" si="1"/>
        <v>0</v>
      </c>
      <c r="P129" s="8">
        <f t="shared" si="2"/>
        <v>1</v>
      </c>
      <c r="Q129" s="8">
        <f t="shared" si="3"/>
        <v>0</v>
      </c>
      <c r="R129" s="8">
        <f t="shared" si="4"/>
        <v>0</v>
      </c>
      <c r="S129" s="8">
        <f t="shared" si="5"/>
        <v>1</v>
      </c>
      <c r="T129" s="8">
        <f t="shared" si="6"/>
        <v>0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  <c r="O130" s="8">
        <f t="shared" si="1"/>
        <v>0</v>
      </c>
      <c r="P130" s="8">
        <f t="shared" si="2"/>
        <v>0</v>
      </c>
      <c r="Q130" s="8">
        <f t="shared" si="3"/>
        <v>0</v>
      </c>
      <c r="R130" s="8">
        <f t="shared" si="4"/>
        <v>0</v>
      </c>
      <c r="S130" s="8">
        <f t="shared" si="5"/>
        <v>1</v>
      </c>
      <c r="T130" s="8">
        <f t="shared" si="6"/>
        <v>0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  <c r="O131" s="8">
        <f t="shared" si="1"/>
        <v>0</v>
      </c>
      <c r="P131" s="8">
        <f t="shared" si="2"/>
        <v>0</v>
      </c>
      <c r="Q131" s="8">
        <f t="shared" si="3"/>
        <v>0</v>
      </c>
      <c r="R131" s="8">
        <f t="shared" si="4"/>
        <v>0</v>
      </c>
      <c r="S131" s="8">
        <f t="shared" si="5"/>
        <v>1</v>
      </c>
      <c r="T131" s="8">
        <f t="shared" si="6"/>
        <v>0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  <c r="O132" s="8">
        <f t="shared" si="1"/>
        <v>0</v>
      </c>
      <c r="P132" s="8">
        <f t="shared" si="2"/>
        <v>0</v>
      </c>
      <c r="Q132" s="8">
        <f t="shared" si="3"/>
        <v>0</v>
      </c>
      <c r="R132" s="8">
        <f t="shared" si="4"/>
        <v>0</v>
      </c>
      <c r="S132" s="8">
        <f t="shared" si="5"/>
        <v>1</v>
      </c>
      <c r="T132" s="8">
        <f t="shared" si="6"/>
        <v>0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  <c r="O133" s="8">
        <f t="shared" si="1"/>
        <v>0</v>
      </c>
      <c r="P133" s="8">
        <f t="shared" si="2"/>
        <v>0</v>
      </c>
      <c r="Q133" s="8">
        <f t="shared" si="3"/>
        <v>0</v>
      </c>
      <c r="R133" s="8">
        <f t="shared" si="4"/>
        <v>0</v>
      </c>
      <c r="S133" s="8">
        <f t="shared" si="5"/>
        <v>1</v>
      </c>
      <c r="T133" s="8">
        <f t="shared" si="6"/>
        <v>0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  <c r="O134" s="8">
        <f t="shared" si="1"/>
        <v>1</v>
      </c>
      <c r="P134" s="8">
        <f t="shared" si="2"/>
        <v>0</v>
      </c>
      <c r="Q134" s="8">
        <f t="shared" si="3"/>
        <v>0</v>
      </c>
      <c r="R134" s="8">
        <f t="shared" si="4"/>
        <v>0</v>
      </c>
      <c r="S134" s="8">
        <f t="shared" si="5"/>
        <v>1</v>
      </c>
      <c r="T134" s="8">
        <f t="shared" si="6"/>
        <v>0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6">
        <v>3.92</v>
      </c>
      <c r="M135" s="4">
        <v>400831.65</v>
      </c>
      <c r="N135" s="4">
        <v>70979.31</v>
      </c>
      <c r="O135" s="8">
        <f t="shared" si="1"/>
        <v>1</v>
      </c>
      <c r="P135" s="8">
        <f t="shared" si="2"/>
        <v>0</v>
      </c>
      <c r="Q135" s="8">
        <f t="shared" si="3"/>
        <v>0</v>
      </c>
      <c r="R135" s="8">
        <f t="shared" si="4"/>
        <v>0</v>
      </c>
      <c r="S135" s="8">
        <f t="shared" si="5"/>
        <v>1</v>
      </c>
      <c r="T135" s="8">
        <f t="shared" si="6"/>
        <v>0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  <c r="O136" s="8">
        <f t="shared" si="1"/>
        <v>1</v>
      </c>
      <c r="P136" s="8">
        <f t="shared" si="2"/>
        <v>0</v>
      </c>
      <c r="Q136" s="8">
        <f t="shared" si="3"/>
        <v>0</v>
      </c>
      <c r="R136" s="8">
        <f t="shared" si="4"/>
        <v>0</v>
      </c>
      <c r="S136" s="8">
        <f t="shared" si="5"/>
        <v>1</v>
      </c>
      <c r="T136" s="8">
        <f t="shared" si="6"/>
        <v>0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  <c r="O137" s="8">
        <f t="shared" si="1"/>
        <v>1</v>
      </c>
      <c r="P137" s="8">
        <f t="shared" si="2"/>
        <v>0</v>
      </c>
      <c r="Q137" s="8">
        <f t="shared" si="3"/>
        <v>0</v>
      </c>
      <c r="R137" s="8">
        <f t="shared" si="4"/>
        <v>0</v>
      </c>
      <c r="S137" s="8">
        <f t="shared" si="5"/>
        <v>1</v>
      </c>
      <c r="T137" s="8">
        <f t="shared" si="6"/>
        <v>0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6">
        <v>3.92</v>
      </c>
      <c r="M138" s="4">
        <v>633638.03</v>
      </c>
      <c r="N138" s="4">
        <v>99402.01</v>
      </c>
      <c r="O138" s="8">
        <f t="shared" si="1"/>
        <v>0</v>
      </c>
      <c r="P138" s="8">
        <f t="shared" si="2"/>
        <v>1</v>
      </c>
      <c r="Q138" s="8">
        <f t="shared" si="3"/>
        <v>0</v>
      </c>
      <c r="R138" s="8">
        <f t="shared" si="4"/>
        <v>0</v>
      </c>
      <c r="S138" s="8">
        <f t="shared" si="5"/>
        <v>0</v>
      </c>
      <c r="T138" s="8">
        <f t="shared" si="6"/>
        <v>0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  <c r="O139" s="8">
        <f t="shared" si="1"/>
        <v>0</v>
      </c>
      <c r="P139" s="8">
        <f t="shared" si="2"/>
        <v>1</v>
      </c>
      <c r="Q139" s="8">
        <f t="shared" si="3"/>
        <v>0</v>
      </c>
      <c r="R139" s="8">
        <f t="shared" si="4"/>
        <v>0</v>
      </c>
      <c r="S139" s="8">
        <f t="shared" si="5"/>
        <v>0</v>
      </c>
      <c r="T139" s="8">
        <f t="shared" si="6"/>
        <v>0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  <c r="O140" s="8">
        <f t="shared" si="1"/>
        <v>0</v>
      </c>
      <c r="P140" s="8">
        <f t="shared" si="2"/>
        <v>1</v>
      </c>
      <c r="Q140" s="8">
        <f t="shared" si="3"/>
        <v>0</v>
      </c>
      <c r="R140" s="8">
        <f t="shared" si="4"/>
        <v>0</v>
      </c>
      <c r="S140" s="8">
        <f t="shared" si="5"/>
        <v>0</v>
      </c>
      <c r="T140" s="8">
        <f t="shared" si="6"/>
        <v>0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  <c r="O141" s="8">
        <f t="shared" si="1"/>
        <v>0</v>
      </c>
      <c r="P141" s="8">
        <f t="shared" si="2"/>
        <v>1</v>
      </c>
      <c r="Q141" s="8">
        <f t="shared" si="3"/>
        <v>0</v>
      </c>
      <c r="R141" s="8">
        <f t="shared" si="4"/>
        <v>0</v>
      </c>
      <c r="S141" s="8">
        <f t="shared" si="5"/>
        <v>0</v>
      </c>
      <c r="T141" s="8">
        <f t="shared" si="6"/>
        <v>0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  <c r="O142" s="8">
        <f t="shared" si="1"/>
        <v>0</v>
      </c>
      <c r="P142" s="8">
        <f t="shared" si="2"/>
        <v>0</v>
      </c>
      <c r="Q142" s="8">
        <f t="shared" si="3"/>
        <v>1</v>
      </c>
      <c r="R142" s="8">
        <f t="shared" si="4"/>
        <v>0</v>
      </c>
      <c r="S142" s="8">
        <f t="shared" si="5"/>
        <v>1</v>
      </c>
      <c r="T142" s="8">
        <f t="shared" si="6"/>
        <v>0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  <c r="O143" s="8">
        <f t="shared" si="1"/>
        <v>0</v>
      </c>
      <c r="P143" s="8">
        <f t="shared" si="2"/>
        <v>0</v>
      </c>
      <c r="Q143" s="8">
        <f t="shared" si="3"/>
        <v>1</v>
      </c>
      <c r="R143" s="8">
        <f t="shared" si="4"/>
        <v>0</v>
      </c>
      <c r="S143" s="8">
        <f t="shared" si="5"/>
        <v>1</v>
      </c>
      <c r="T143" s="8">
        <f t="shared" si="6"/>
        <v>0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  <c r="O144" s="8">
        <f t="shared" si="1"/>
        <v>0</v>
      </c>
      <c r="P144" s="8">
        <f t="shared" si="2"/>
        <v>0</v>
      </c>
      <c r="Q144" s="8">
        <f t="shared" si="3"/>
        <v>1</v>
      </c>
      <c r="R144" s="8">
        <f t="shared" si="4"/>
        <v>0</v>
      </c>
      <c r="S144" s="8">
        <f t="shared" si="5"/>
        <v>1</v>
      </c>
      <c r="T144" s="8">
        <f t="shared" si="6"/>
        <v>0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  <c r="O145" s="8">
        <f t="shared" si="1"/>
        <v>0</v>
      </c>
      <c r="P145" s="8">
        <f t="shared" si="2"/>
        <v>0</v>
      </c>
      <c r="Q145" s="8">
        <f t="shared" si="3"/>
        <v>1</v>
      </c>
      <c r="R145" s="8">
        <f t="shared" si="4"/>
        <v>0</v>
      </c>
      <c r="S145" s="8">
        <f t="shared" si="5"/>
        <v>1</v>
      </c>
      <c r="T145" s="8">
        <f t="shared" si="6"/>
        <v>0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  <c r="O146" s="8">
        <f t="shared" si="1"/>
        <v>1</v>
      </c>
      <c r="P146" s="8">
        <f t="shared" si="2"/>
        <v>0</v>
      </c>
      <c r="Q146" s="8">
        <f t="shared" si="3"/>
        <v>0</v>
      </c>
      <c r="R146" s="8">
        <f t="shared" si="4"/>
        <v>0</v>
      </c>
      <c r="S146" s="8">
        <f t="shared" si="5"/>
        <v>0</v>
      </c>
      <c r="T146" s="8">
        <f t="shared" si="6"/>
        <v>0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  <c r="O147" s="8">
        <f t="shared" si="1"/>
        <v>1</v>
      </c>
      <c r="P147" s="8">
        <f t="shared" si="2"/>
        <v>0</v>
      </c>
      <c r="Q147" s="8">
        <f t="shared" si="3"/>
        <v>0</v>
      </c>
      <c r="R147" s="8">
        <f t="shared" si="4"/>
        <v>0</v>
      </c>
      <c r="S147" s="8">
        <f t="shared" si="5"/>
        <v>0</v>
      </c>
      <c r="T147" s="8">
        <f t="shared" si="6"/>
        <v>0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  <c r="O148" s="8">
        <f t="shared" si="1"/>
        <v>1</v>
      </c>
      <c r="P148" s="8">
        <f t="shared" si="2"/>
        <v>0</v>
      </c>
      <c r="Q148" s="8">
        <f t="shared" si="3"/>
        <v>0</v>
      </c>
      <c r="R148" s="8">
        <f t="shared" si="4"/>
        <v>0</v>
      </c>
      <c r="S148" s="8">
        <f t="shared" si="5"/>
        <v>0</v>
      </c>
      <c r="T148" s="8">
        <f t="shared" si="6"/>
        <v>0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  <c r="O149" s="8">
        <f t="shared" si="1"/>
        <v>1</v>
      </c>
      <c r="P149" s="8">
        <f t="shared" si="2"/>
        <v>0</v>
      </c>
      <c r="Q149" s="8">
        <f t="shared" si="3"/>
        <v>0</v>
      </c>
      <c r="R149" s="8">
        <f t="shared" si="4"/>
        <v>0</v>
      </c>
      <c r="S149" s="8">
        <f t="shared" si="5"/>
        <v>0</v>
      </c>
      <c r="T149" s="8">
        <f t="shared" si="6"/>
        <v>0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  <c r="O150" s="8">
        <f t="shared" si="1"/>
        <v>0</v>
      </c>
      <c r="P150" s="8">
        <f t="shared" si="2"/>
        <v>1</v>
      </c>
      <c r="Q150" s="8">
        <f t="shared" si="3"/>
        <v>0</v>
      </c>
      <c r="R150" s="8">
        <f t="shared" si="4"/>
        <v>0</v>
      </c>
      <c r="S150" s="8">
        <f t="shared" si="5"/>
        <v>0</v>
      </c>
      <c r="T150" s="8">
        <f t="shared" si="6"/>
        <v>1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  <c r="O151" s="8">
        <f t="shared" si="1"/>
        <v>0</v>
      </c>
      <c r="P151" s="8">
        <f t="shared" si="2"/>
        <v>1</v>
      </c>
      <c r="Q151" s="8">
        <f t="shared" si="3"/>
        <v>0</v>
      </c>
      <c r="R151" s="8">
        <f t="shared" si="4"/>
        <v>0</v>
      </c>
      <c r="S151" s="8">
        <f t="shared" si="5"/>
        <v>0</v>
      </c>
      <c r="T151" s="8">
        <f t="shared" si="6"/>
        <v>1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  <c r="O152" s="8">
        <f t="shared" si="1"/>
        <v>0</v>
      </c>
      <c r="P152" s="8">
        <f t="shared" si="2"/>
        <v>1</v>
      </c>
      <c r="Q152" s="8">
        <f t="shared" si="3"/>
        <v>0</v>
      </c>
      <c r="R152" s="8">
        <f t="shared" si="4"/>
        <v>0</v>
      </c>
      <c r="S152" s="8">
        <f t="shared" si="5"/>
        <v>0</v>
      </c>
      <c r="T152" s="8">
        <f t="shared" si="6"/>
        <v>1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  <c r="O153" s="8">
        <f t="shared" si="1"/>
        <v>0</v>
      </c>
      <c r="P153" s="8">
        <f t="shared" si="2"/>
        <v>1</v>
      </c>
      <c r="Q153" s="8">
        <f t="shared" si="3"/>
        <v>0</v>
      </c>
      <c r="R153" s="8">
        <f t="shared" si="4"/>
        <v>0</v>
      </c>
      <c r="S153" s="8">
        <f t="shared" si="5"/>
        <v>0</v>
      </c>
      <c r="T153" s="8">
        <f t="shared" si="6"/>
        <v>1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  <c r="O154" s="8">
        <f t="shared" si="1"/>
        <v>0</v>
      </c>
      <c r="P154" s="8">
        <f t="shared" si="2"/>
        <v>0</v>
      </c>
      <c r="Q154" s="8">
        <f t="shared" si="3"/>
        <v>0</v>
      </c>
      <c r="R154" s="8">
        <f t="shared" si="4"/>
        <v>0</v>
      </c>
      <c r="S154" s="8">
        <f t="shared" si="5"/>
        <v>1</v>
      </c>
      <c r="T154" s="8">
        <f t="shared" si="6"/>
        <v>0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  <c r="O155" s="8">
        <f t="shared" si="1"/>
        <v>0</v>
      </c>
      <c r="P155" s="8">
        <f t="shared" si="2"/>
        <v>0</v>
      </c>
      <c r="Q155" s="8">
        <f t="shared" si="3"/>
        <v>0</v>
      </c>
      <c r="R155" s="8">
        <f t="shared" si="4"/>
        <v>0</v>
      </c>
      <c r="S155" s="8">
        <f t="shared" si="5"/>
        <v>1</v>
      </c>
      <c r="T155" s="8">
        <f t="shared" si="6"/>
        <v>0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  <c r="O156" s="8">
        <f t="shared" si="1"/>
        <v>0</v>
      </c>
      <c r="P156" s="8">
        <f t="shared" si="2"/>
        <v>0</v>
      </c>
      <c r="Q156" s="8">
        <f t="shared" si="3"/>
        <v>0</v>
      </c>
      <c r="R156" s="8">
        <f t="shared" si="4"/>
        <v>0</v>
      </c>
      <c r="S156" s="8">
        <f t="shared" si="5"/>
        <v>1</v>
      </c>
      <c r="T156" s="8">
        <f t="shared" si="6"/>
        <v>0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  <c r="O157" s="8">
        <f t="shared" si="1"/>
        <v>0</v>
      </c>
      <c r="P157" s="8">
        <f t="shared" si="2"/>
        <v>0</v>
      </c>
      <c r="Q157" s="8">
        <f t="shared" si="3"/>
        <v>0</v>
      </c>
      <c r="R157" s="8">
        <f t="shared" si="4"/>
        <v>0</v>
      </c>
      <c r="S157" s="8">
        <f t="shared" si="5"/>
        <v>1</v>
      </c>
      <c r="T157" s="8">
        <f t="shared" si="6"/>
        <v>0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  <c r="O158" s="8">
        <f t="shared" si="1"/>
        <v>1</v>
      </c>
      <c r="P158" s="8">
        <f t="shared" si="2"/>
        <v>0</v>
      </c>
      <c r="Q158" s="8">
        <f t="shared" si="3"/>
        <v>0</v>
      </c>
      <c r="R158" s="8">
        <f t="shared" si="4"/>
        <v>0</v>
      </c>
      <c r="S158" s="8">
        <f t="shared" si="5"/>
        <v>0</v>
      </c>
      <c r="T158" s="8">
        <f t="shared" si="6"/>
        <v>1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  <c r="O159" s="8">
        <f t="shared" si="1"/>
        <v>1</v>
      </c>
      <c r="P159" s="8">
        <f t="shared" si="2"/>
        <v>0</v>
      </c>
      <c r="Q159" s="8">
        <f t="shared" si="3"/>
        <v>0</v>
      </c>
      <c r="R159" s="8">
        <f t="shared" si="4"/>
        <v>0</v>
      </c>
      <c r="S159" s="8">
        <f t="shared" si="5"/>
        <v>0</v>
      </c>
      <c r="T159" s="8">
        <f t="shared" si="6"/>
        <v>1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  <c r="O160" s="8">
        <f t="shared" si="1"/>
        <v>1</v>
      </c>
      <c r="P160" s="8">
        <f t="shared" si="2"/>
        <v>0</v>
      </c>
      <c r="Q160" s="8">
        <f t="shared" si="3"/>
        <v>0</v>
      </c>
      <c r="R160" s="8">
        <f t="shared" si="4"/>
        <v>0</v>
      </c>
      <c r="S160" s="8">
        <f t="shared" si="5"/>
        <v>0</v>
      </c>
      <c r="T160" s="8">
        <f t="shared" si="6"/>
        <v>1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  <c r="O161" s="8">
        <f t="shared" si="1"/>
        <v>1</v>
      </c>
      <c r="P161" s="8">
        <f t="shared" si="2"/>
        <v>0</v>
      </c>
      <c r="Q161" s="8">
        <f t="shared" si="3"/>
        <v>0</v>
      </c>
      <c r="R161" s="8">
        <f t="shared" si="4"/>
        <v>0</v>
      </c>
      <c r="S161" s="8">
        <f t="shared" si="5"/>
        <v>0</v>
      </c>
      <c r="T161" s="8">
        <f t="shared" si="6"/>
        <v>1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  <c r="O162" s="8">
        <f t="shared" si="1"/>
        <v>0</v>
      </c>
      <c r="P162" s="8">
        <f t="shared" si="2"/>
        <v>1</v>
      </c>
      <c r="Q162" s="8">
        <f t="shared" si="3"/>
        <v>0</v>
      </c>
      <c r="R162" s="8">
        <f t="shared" si="4"/>
        <v>0</v>
      </c>
      <c r="S162" s="8">
        <f t="shared" si="5"/>
        <v>1</v>
      </c>
      <c r="T162" s="8">
        <f t="shared" si="6"/>
        <v>0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  <c r="O163" s="8">
        <f t="shared" si="1"/>
        <v>0</v>
      </c>
      <c r="P163" s="8">
        <f t="shared" si="2"/>
        <v>1</v>
      </c>
      <c r="Q163" s="8">
        <f t="shared" si="3"/>
        <v>0</v>
      </c>
      <c r="R163" s="8">
        <f t="shared" si="4"/>
        <v>0</v>
      </c>
      <c r="S163" s="8">
        <f t="shared" si="5"/>
        <v>1</v>
      </c>
      <c r="T163" s="8">
        <f t="shared" si="6"/>
        <v>0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6">
        <v>4.56</v>
      </c>
      <c r="K164" s="4">
        <v>0.0</v>
      </c>
      <c r="L164" s="4">
        <v>4.2</v>
      </c>
      <c r="M164" s="4">
        <v>677096.71</v>
      </c>
      <c r="N164" s="4">
        <v>97174.11</v>
      </c>
      <c r="O164" s="8">
        <f t="shared" si="1"/>
        <v>0</v>
      </c>
      <c r="P164" s="8">
        <f t="shared" si="2"/>
        <v>1</v>
      </c>
      <c r="Q164" s="8">
        <f t="shared" si="3"/>
        <v>0</v>
      </c>
      <c r="R164" s="8">
        <f t="shared" si="4"/>
        <v>0</v>
      </c>
      <c r="S164" s="8">
        <f t="shared" si="5"/>
        <v>1</v>
      </c>
      <c r="T164" s="8">
        <f t="shared" si="6"/>
        <v>0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  <c r="O165" s="8">
        <f t="shared" si="1"/>
        <v>0</v>
      </c>
      <c r="P165" s="8">
        <f t="shared" si="2"/>
        <v>1</v>
      </c>
      <c r="Q165" s="8">
        <f t="shared" si="3"/>
        <v>0</v>
      </c>
      <c r="R165" s="8">
        <f t="shared" si="4"/>
        <v>0</v>
      </c>
      <c r="S165" s="8">
        <f t="shared" si="5"/>
        <v>1</v>
      </c>
      <c r="T165" s="8">
        <f t="shared" si="6"/>
        <v>0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  <c r="O166" s="8">
        <f t="shared" si="1"/>
        <v>1</v>
      </c>
      <c r="P166" s="8">
        <f t="shared" si="2"/>
        <v>0</v>
      </c>
      <c r="Q166" s="8">
        <f t="shared" si="3"/>
        <v>0</v>
      </c>
      <c r="R166" s="8">
        <f t="shared" si="4"/>
        <v>0</v>
      </c>
      <c r="S166" s="8">
        <f t="shared" si="5"/>
        <v>0</v>
      </c>
      <c r="T166" s="8">
        <f t="shared" si="6"/>
        <v>1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  <c r="O167" s="8">
        <f t="shared" si="1"/>
        <v>1</v>
      </c>
      <c r="P167" s="8">
        <f t="shared" si="2"/>
        <v>0</v>
      </c>
      <c r="Q167" s="8">
        <f t="shared" si="3"/>
        <v>0</v>
      </c>
      <c r="R167" s="8">
        <f t="shared" si="4"/>
        <v>0</v>
      </c>
      <c r="S167" s="8">
        <f t="shared" si="5"/>
        <v>0</v>
      </c>
      <c r="T167" s="8">
        <f t="shared" si="6"/>
        <v>1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  <c r="O168" s="8">
        <f t="shared" si="1"/>
        <v>1</v>
      </c>
      <c r="P168" s="8">
        <f t="shared" si="2"/>
        <v>0</v>
      </c>
      <c r="Q168" s="8">
        <f t="shared" si="3"/>
        <v>0</v>
      </c>
      <c r="R168" s="8">
        <f t="shared" si="4"/>
        <v>0</v>
      </c>
      <c r="S168" s="8">
        <f t="shared" si="5"/>
        <v>0</v>
      </c>
      <c r="T168" s="8">
        <f t="shared" si="6"/>
        <v>1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  <c r="O169" s="8">
        <f t="shared" si="1"/>
        <v>1</v>
      </c>
      <c r="P169" s="8">
        <f t="shared" si="2"/>
        <v>0</v>
      </c>
      <c r="Q169" s="8">
        <f t="shared" si="3"/>
        <v>0</v>
      </c>
      <c r="R169" s="8">
        <f t="shared" si="4"/>
        <v>0</v>
      </c>
      <c r="S169" s="8">
        <f t="shared" si="5"/>
        <v>0</v>
      </c>
      <c r="T169" s="8">
        <f t="shared" si="6"/>
        <v>1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  <c r="O170" s="8">
        <f t="shared" si="1"/>
        <v>0</v>
      </c>
      <c r="P170" s="8">
        <f t="shared" si="2"/>
        <v>0</v>
      </c>
      <c r="Q170" s="8">
        <f t="shared" si="3"/>
        <v>0</v>
      </c>
      <c r="R170" s="8">
        <f t="shared" si="4"/>
        <v>0</v>
      </c>
      <c r="S170" s="8">
        <f t="shared" si="5"/>
        <v>0</v>
      </c>
      <c r="T170" s="8">
        <f t="shared" si="6"/>
        <v>0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  <c r="O171" s="8">
        <f t="shared" si="1"/>
        <v>0</v>
      </c>
      <c r="P171" s="8">
        <f t="shared" si="2"/>
        <v>0</v>
      </c>
      <c r="Q171" s="8">
        <f t="shared" si="3"/>
        <v>0</v>
      </c>
      <c r="R171" s="8">
        <f t="shared" si="4"/>
        <v>0</v>
      </c>
      <c r="S171" s="8">
        <f t="shared" si="5"/>
        <v>0</v>
      </c>
      <c r="T171" s="8">
        <f t="shared" si="6"/>
        <v>0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  <c r="O172" s="8">
        <f t="shared" si="1"/>
        <v>0</v>
      </c>
      <c r="P172" s="8">
        <f t="shared" si="2"/>
        <v>0</v>
      </c>
      <c r="Q172" s="8">
        <f t="shared" si="3"/>
        <v>0</v>
      </c>
      <c r="R172" s="8">
        <f t="shared" si="4"/>
        <v>0</v>
      </c>
      <c r="S172" s="8">
        <f t="shared" si="5"/>
        <v>0</v>
      </c>
      <c r="T172" s="8">
        <f t="shared" si="6"/>
        <v>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  <c r="O173" s="8">
        <f t="shared" si="1"/>
        <v>0</v>
      </c>
      <c r="P173" s="8">
        <f t="shared" si="2"/>
        <v>0</v>
      </c>
      <c r="Q173" s="8">
        <f t="shared" si="3"/>
        <v>0</v>
      </c>
      <c r="R173" s="8">
        <f t="shared" si="4"/>
        <v>0</v>
      </c>
      <c r="S173" s="8">
        <f t="shared" si="5"/>
        <v>0</v>
      </c>
      <c r="T173" s="8">
        <f t="shared" si="6"/>
        <v>0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  <c r="O174" s="8">
        <f t="shared" si="1"/>
        <v>0</v>
      </c>
      <c r="P174" s="8">
        <f t="shared" si="2"/>
        <v>0</v>
      </c>
      <c r="Q174" s="8">
        <f t="shared" si="3"/>
        <v>0</v>
      </c>
      <c r="R174" s="8">
        <f t="shared" si="4"/>
        <v>0</v>
      </c>
      <c r="S174" s="8">
        <f t="shared" si="5"/>
        <v>0</v>
      </c>
      <c r="T174" s="8">
        <f t="shared" si="6"/>
        <v>0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  <c r="O175" s="8">
        <f t="shared" si="1"/>
        <v>0</v>
      </c>
      <c r="P175" s="8">
        <f t="shared" si="2"/>
        <v>0</v>
      </c>
      <c r="Q175" s="8">
        <f t="shared" si="3"/>
        <v>0</v>
      </c>
      <c r="R175" s="8">
        <f t="shared" si="4"/>
        <v>0</v>
      </c>
      <c r="S175" s="8">
        <f t="shared" si="5"/>
        <v>0</v>
      </c>
      <c r="T175" s="8">
        <f t="shared" si="6"/>
        <v>0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  <c r="O176" s="8">
        <f t="shared" si="1"/>
        <v>0</v>
      </c>
      <c r="P176" s="8">
        <f t="shared" si="2"/>
        <v>0</v>
      </c>
      <c r="Q176" s="8">
        <f t="shared" si="3"/>
        <v>0</v>
      </c>
      <c r="R176" s="8">
        <f t="shared" si="4"/>
        <v>0</v>
      </c>
      <c r="S176" s="8">
        <f t="shared" si="5"/>
        <v>0</v>
      </c>
      <c r="T176" s="8">
        <f t="shared" si="6"/>
        <v>0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  <c r="O177" s="8">
        <f t="shared" si="1"/>
        <v>0</v>
      </c>
      <c r="P177" s="8">
        <f t="shared" si="2"/>
        <v>0</v>
      </c>
      <c r="Q177" s="8">
        <f t="shared" si="3"/>
        <v>0</v>
      </c>
      <c r="R177" s="8">
        <f t="shared" si="4"/>
        <v>0</v>
      </c>
      <c r="S177" s="8">
        <f t="shared" si="5"/>
        <v>0</v>
      </c>
      <c r="T177" s="8">
        <f t="shared" si="6"/>
        <v>0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  <c r="O178" s="8">
        <f t="shared" si="1"/>
        <v>0</v>
      </c>
      <c r="P178" s="8">
        <f t="shared" si="2"/>
        <v>0</v>
      </c>
      <c r="Q178" s="8">
        <f t="shared" si="3"/>
        <v>1</v>
      </c>
      <c r="R178" s="8">
        <f t="shared" si="4"/>
        <v>1</v>
      </c>
      <c r="S178" s="8">
        <f t="shared" si="5"/>
        <v>0</v>
      </c>
      <c r="T178" s="8">
        <f t="shared" si="6"/>
        <v>0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  <c r="O179" s="8">
        <f t="shared" si="1"/>
        <v>0</v>
      </c>
      <c r="P179" s="8">
        <f t="shared" si="2"/>
        <v>0</v>
      </c>
      <c r="Q179" s="8">
        <f t="shared" si="3"/>
        <v>1</v>
      </c>
      <c r="R179" s="8">
        <f t="shared" si="4"/>
        <v>1</v>
      </c>
      <c r="S179" s="8">
        <f t="shared" si="5"/>
        <v>0</v>
      </c>
      <c r="T179" s="8">
        <f t="shared" si="6"/>
        <v>0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  <c r="O180" s="8">
        <f t="shared" si="1"/>
        <v>0</v>
      </c>
      <c r="P180" s="8">
        <f t="shared" si="2"/>
        <v>0</v>
      </c>
      <c r="Q180" s="8">
        <f t="shared" si="3"/>
        <v>1</v>
      </c>
      <c r="R180" s="8">
        <f t="shared" si="4"/>
        <v>1</v>
      </c>
      <c r="S180" s="8">
        <f t="shared" si="5"/>
        <v>0</v>
      </c>
      <c r="T180" s="8">
        <f t="shared" si="6"/>
        <v>0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  <c r="O181" s="8">
        <f t="shared" si="1"/>
        <v>0</v>
      </c>
      <c r="P181" s="8">
        <f t="shared" si="2"/>
        <v>0</v>
      </c>
      <c r="Q181" s="8">
        <f t="shared" si="3"/>
        <v>1</v>
      </c>
      <c r="R181" s="8">
        <f t="shared" si="4"/>
        <v>1</v>
      </c>
      <c r="S181" s="8">
        <f t="shared" si="5"/>
        <v>0</v>
      </c>
      <c r="T181" s="8">
        <f t="shared" si="6"/>
        <v>0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  <c r="O182" s="8">
        <f t="shared" si="1"/>
        <v>0</v>
      </c>
      <c r="P182" s="8">
        <f t="shared" si="2"/>
        <v>0</v>
      </c>
      <c r="Q182" s="8">
        <f t="shared" si="3"/>
        <v>1</v>
      </c>
      <c r="R182" s="8">
        <f t="shared" si="4"/>
        <v>0</v>
      </c>
      <c r="S182" s="8">
        <f t="shared" si="5"/>
        <v>0</v>
      </c>
      <c r="T182" s="8">
        <f t="shared" si="6"/>
        <v>0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  <c r="O183" s="8">
        <f t="shared" si="1"/>
        <v>0</v>
      </c>
      <c r="P183" s="8">
        <f t="shared" si="2"/>
        <v>0</v>
      </c>
      <c r="Q183" s="8">
        <f t="shared" si="3"/>
        <v>1</v>
      </c>
      <c r="R183" s="8">
        <f t="shared" si="4"/>
        <v>0</v>
      </c>
      <c r="S183" s="8">
        <f t="shared" si="5"/>
        <v>0</v>
      </c>
      <c r="T183" s="8">
        <f t="shared" si="6"/>
        <v>0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  <c r="O184" s="8">
        <f t="shared" si="1"/>
        <v>0</v>
      </c>
      <c r="P184" s="8">
        <f t="shared" si="2"/>
        <v>0</v>
      </c>
      <c r="Q184" s="8">
        <f t="shared" si="3"/>
        <v>1</v>
      </c>
      <c r="R184" s="8">
        <f t="shared" si="4"/>
        <v>0</v>
      </c>
      <c r="S184" s="8">
        <f t="shared" si="5"/>
        <v>0</v>
      </c>
      <c r="T184" s="8">
        <f t="shared" si="6"/>
        <v>0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  <c r="O185" s="8">
        <f t="shared" si="1"/>
        <v>0</v>
      </c>
      <c r="P185" s="8">
        <f t="shared" si="2"/>
        <v>0</v>
      </c>
      <c r="Q185" s="8">
        <f t="shared" si="3"/>
        <v>1</v>
      </c>
      <c r="R185" s="8">
        <f t="shared" si="4"/>
        <v>0</v>
      </c>
      <c r="S185" s="8">
        <f t="shared" si="5"/>
        <v>0</v>
      </c>
      <c r="T185" s="8">
        <f t="shared" si="6"/>
        <v>0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  <c r="O186" s="8">
        <f t="shared" si="1"/>
        <v>1</v>
      </c>
      <c r="P186" s="8">
        <f t="shared" si="2"/>
        <v>0</v>
      </c>
      <c r="Q186" s="8">
        <f t="shared" si="3"/>
        <v>0</v>
      </c>
      <c r="R186" s="8">
        <f t="shared" si="4"/>
        <v>0</v>
      </c>
      <c r="S186" s="8">
        <f t="shared" si="5"/>
        <v>1</v>
      </c>
      <c r="T186" s="8">
        <f t="shared" si="6"/>
        <v>0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  <c r="O187" s="8">
        <f t="shared" si="1"/>
        <v>1</v>
      </c>
      <c r="P187" s="8">
        <f t="shared" si="2"/>
        <v>0</v>
      </c>
      <c r="Q187" s="8">
        <f t="shared" si="3"/>
        <v>0</v>
      </c>
      <c r="R187" s="8">
        <f t="shared" si="4"/>
        <v>0</v>
      </c>
      <c r="S187" s="8">
        <f t="shared" si="5"/>
        <v>1</v>
      </c>
      <c r="T187" s="8">
        <f t="shared" si="6"/>
        <v>0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  <c r="O188" s="8">
        <f t="shared" si="1"/>
        <v>1</v>
      </c>
      <c r="P188" s="8">
        <f t="shared" si="2"/>
        <v>0</v>
      </c>
      <c r="Q188" s="8">
        <f t="shared" si="3"/>
        <v>0</v>
      </c>
      <c r="R188" s="8">
        <f t="shared" si="4"/>
        <v>0</v>
      </c>
      <c r="S188" s="8">
        <f t="shared" si="5"/>
        <v>1</v>
      </c>
      <c r="T188" s="8">
        <f t="shared" si="6"/>
        <v>0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  <c r="O189" s="8">
        <f t="shared" si="1"/>
        <v>1</v>
      </c>
      <c r="P189" s="8">
        <f t="shared" si="2"/>
        <v>0</v>
      </c>
      <c r="Q189" s="8">
        <f t="shared" si="3"/>
        <v>0</v>
      </c>
      <c r="R189" s="8">
        <f t="shared" si="4"/>
        <v>0</v>
      </c>
      <c r="S189" s="8">
        <f t="shared" si="5"/>
        <v>1</v>
      </c>
      <c r="T189" s="8">
        <f t="shared" si="6"/>
        <v>0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  <c r="O190" s="8">
        <f t="shared" si="1"/>
        <v>0</v>
      </c>
      <c r="P190" s="8">
        <f t="shared" si="2"/>
        <v>0</v>
      </c>
      <c r="Q190" s="8">
        <f t="shared" si="3"/>
        <v>0</v>
      </c>
      <c r="R190" s="8">
        <f t="shared" si="4"/>
        <v>0</v>
      </c>
      <c r="S190" s="8">
        <f t="shared" si="5"/>
        <v>1</v>
      </c>
      <c r="T190" s="8">
        <f t="shared" si="6"/>
        <v>0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  <c r="O191" s="8">
        <f t="shared" si="1"/>
        <v>0</v>
      </c>
      <c r="P191" s="8">
        <f t="shared" si="2"/>
        <v>0</v>
      </c>
      <c r="Q191" s="8">
        <f t="shared" si="3"/>
        <v>0</v>
      </c>
      <c r="R191" s="8">
        <f t="shared" si="4"/>
        <v>0</v>
      </c>
      <c r="S191" s="8">
        <f t="shared" si="5"/>
        <v>1</v>
      </c>
      <c r="T191" s="8">
        <f t="shared" si="6"/>
        <v>0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  <c r="O192" s="8">
        <f t="shared" si="1"/>
        <v>0</v>
      </c>
      <c r="P192" s="8">
        <f t="shared" si="2"/>
        <v>0</v>
      </c>
      <c r="Q192" s="8">
        <f t="shared" si="3"/>
        <v>0</v>
      </c>
      <c r="R192" s="8">
        <f t="shared" si="4"/>
        <v>0</v>
      </c>
      <c r="S192" s="8">
        <f t="shared" si="5"/>
        <v>1</v>
      </c>
      <c r="T192" s="8">
        <f t="shared" si="6"/>
        <v>0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  <c r="O193" s="8">
        <f t="shared" si="1"/>
        <v>0</v>
      </c>
      <c r="P193" s="8">
        <f t="shared" si="2"/>
        <v>0</v>
      </c>
      <c r="Q193" s="8">
        <f t="shared" si="3"/>
        <v>0</v>
      </c>
      <c r="R193" s="8">
        <f t="shared" si="4"/>
        <v>0</v>
      </c>
      <c r="S193" s="8">
        <f t="shared" si="5"/>
        <v>1</v>
      </c>
      <c r="T193" s="8">
        <f t="shared" si="6"/>
        <v>0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  <c r="O194" s="8">
        <f t="shared" si="1"/>
        <v>0</v>
      </c>
      <c r="P194" s="8">
        <f t="shared" si="2"/>
        <v>0</v>
      </c>
      <c r="Q194" s="8">
        <f t="shared" si="3"/>
        <v>1</v>
      </c>
      <c r="R194" s="8">
        <f t="shared" si="4"/>
        <v>0</v>
      </c>
      <c r="S194" s="8">
        <f t="shared" si="5"/>
        <v>0</v>
      </c>
      <c r="T194" s="8">
        <f t="shared" si="6"/>
        <v>0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  <c r="O195" s="8">
        <f t="shared" si="1"/>
        <v>0</v>
      </c>
      <c r="P195" s="8">
        <f t="shared" si="2"/>
        <v>0</v>
      </c>
      <c r="Q195" s="8">
        <f t="shared" si="3"/>
        <v>1</v>
      </c>
      <c r="R195" s="8">
        <f t="shared" si="4"/>
        <v>0</v>
      </c>
      <c r="S195" s="8">
        <f t="shared" si="5"/>
        <v>0</v>
      </c>
      <c r="T195" s="8">
        <f t="shared" si="6"/>
        <v>0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  <c r="O196" s="8">
        <f t="shared" si="1"/>
        <v>0</v>
      </c>
      <c r="P196" s="8">
        <f t="shared" si="2"/>
        <v>0</v>
      </c>
      <c r="Q196" s="8">
        <f t="shared" si="3"/>
        <v>1</v>
      </c>
      <c r="R196" s="8">
        <f t="shared" si="4"/>
        <v>0</v>
      </c>
      <c r="S196" s="8">
        <f t="shared" si="5"/>
        <v>0</v>
      </c>
      <c r="T196" s="8">
        <f t="shared" si="6"/>
        <v>0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6">
        <v>3.92</v>
      </c>
      <c r="M197" s="4">
        <v>449465.06</v>
      </c>
      <c r="N197" s="4">
        <v>65694.78</v>
      </c>
      <c r="O197" s="8">
        <f t="shared" si="1"/>
        <v>0</v>
      </c>
      <c r="P197" s="8">
        <f t="shared" si="2"/>
        <v>0</v>
      </c>
      <c r="Q197" s="8">
        <f t="shared" si="3"/>
        <v>1</v>
      </c>
      <c r="R197" s="8">
        <f t="shared" si="4"/>
        <v>0</v>
      </c>
      <c r="S197" s="8">
        <f t="shared" si="5"/>
        <v>0</v>
      </c>
      <c r="T197" s="8">
        <f t="shared" si="6"/>
        <v>0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  <c r="O198" s="8">
        <f t="shared" si="1"/>
        <v>1</v>
      </c>
      <c r="P198" s="8">
        <f t="shared" si="2"/>
        <v>0</v>
      </c>
      <c r="Q198" s="8">
        <f t="shared" si="3"/>
        <v>0</v>
      </c>
      <c r="R198" s="8">
        <f t="shared" si="4"/>
        <v>0</v>
      </c>
      <c r="S198" s="8">
        <f t="shared" si="5"/>
        <v>0</v>
      </c>
      <c r="T198" s="8">
        <f t="shared" si="6"/>
        <v>0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  <c r="O199" s="8">
        <f t="shared" si="1"/>
        <v>1</v>
      </c>
      <c r="P199" s="8">
        <f t="shared" si="2"/>
        <v>0</v>
      </c>
      <c r="Q199" s="8">
        <f t="shared" si="3"/>
        <v>0</v>
      </c>
      <c r="R199" s="8">
        <f t="shared" si="4"/>
        <v>0</v>
      </c>
      <c r="S199" s="8">
        <f t="shared" si="5"/>
        <v>0</v>
      </c>
      <c r="T199" s="8">
        <f t="shared" si="6"/>
        <v>0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  <c r="O200" s="8">
        <f t="shared" si="1"/>
        <v>1</v>
      </c>
      <c r="P200" s="8">
        <f t="shared" si="2"/>
        <v>0</v>
      </c>
      <c r="Q200" s="8">
        <f t="shared" si="3"/>
        <v>0</v>
      </c>
      <c r="R200" s="8">
        <f t="shared" si="4"/>
        <v>0</v>
      </c>
      <c r="S200" s="8">
        <f t="shared" si="5"/>
        <v>0</v>
      </c>
      <c r="T200" s="8">
        <f t="shared" si="6"/>
        <v>0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  <c r="O201" s="8">
        <f t="shared" si="1"/>
        <v>1</v>
      </c>
      <c r="P201" s="8">
        <f t="shared" si="2"/>
        <v>0</v>
      </c>
      <c r="Q201" s="8">
        <f t="shared" si="3"/>
        <v>0</v>
      </c>
      <c r="R201" s="8">
        <f t="shared" si="4"/>
        <v>0</v>
      </c>
      <c r="S201" s="8">
        <f t="shared" si="5"/>
        <v>0</v>
      </c>
      <c r="T201" s="8">
        <f t="shared" si="6"/>
        <v>0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  <c r="O202" s="8">
        <f t="shared" si="1"/>
        <v>0</v>
      </c>
      <c r="P202" s="8">
        <f t="shared" si="2"/>
        <v>0</v>
      </c>
      <c r="Q202" s="8">
        <f t="shared" si="3"/>
        <v>0</v>
      </c>
      <c r="R202" s="8">
        <f t="shared" si="4"/>
        <v>1</v>
      </c>
      <c r="S202" s="8">
        <f t="shared" si="5"/>
        <v>0</v>
      </c>
      <c r="T202" s="8">
        <f t="shared" si="6"/>
        <v>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  <c r="O203" s="8">
        <f t="shared" si="1"/>
        <v>0</v>
      </c>
      <c r="P203" s="8">
        <f t="shared" si="2"/>
        <v>0</v>
      </c>
      <c r="Q203" s="8">
        <f t="shared" si="3"/>
        <v>0</v>
      </c>
      <c r="R203" s="8">
        <f t="shared" si="4"/>
        <v>1</v>
      </c>
      <c r="S203" s="8">
        <f t="shared" si="5"/>
        <v>0</v>
      </c>
      <c r="T203" s="8">
        <f t="shared" si="6"/>
        <v>0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  <c r="O204" s="8">
        <f t="shared" si="1"/>
        <v>0</v>
      </c>
      <c r="P204" s="8">
        <f t="shared" si="2"/>
        <v>0</v>
      </c>
      <c r="Q204" s="8">
        <f t="shared" si="3"/>
        <v>0</v>
      </c>
      <c r="R204" s="8">
        <f t="shared" si="4"/>
        <v>1</v>
      </c>
      <c r="S204" s="8">
        <f t="shared" si="5"/>
        <v>0</v>
      </c>
      <c r="T204" s="8">
        <f t="shared" si="6"/>
        <v>0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  <c r="O205" s="8">
        <f t="shared" si="1"/>
        <v>0</v>
      </c>
      <c r="P205" s="8">
        <f t="shared" si="2"/>
        <v>0</v>
      </c>
      <c r="Q205" s="8">
        <f t="shared" si="3"/>
        <v>0</v>
      </c>
      <c r="R205" s="8">
        <f t="shared" si="4"/>
        <v>1</v>
      </c>
      <c r="S205" s="8">
        <f t="shared" si="5"/>
        <v>0</v>
      </c>
      <c r="T205" s="8">
        <f t="shared" si="6"/>
        <v>0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  <c r="O206" s="8">
        <f t="shared" si="1"/>
        <v>0</v>
      </c>
      <c r="P206" s="8">
        <f t="shared" si="2"/>
        <v>0</v>
      </c>
      <c r="Q206" s="8">
        <f t="shared" si="3"/>
        <v>0</v>
      </c>
      <c r="R206" s="8">
        <f t="shared" si="4"/>
        <v>0</v>
      </c>
      <c r="S206" s="8">
        <f t="shared" si="5"/>
        <v>0</v>
      </c>
      <c r="T206" s="8">
        <f t="shared" si="6"/>
        <v>1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  <c r="O207" s="8">
        <f t="shared" si="1"/>
        <v>0</v>
      </c>
      <c r="P207" s="8">
        <f t="shared" si="2"/>
        <v>0</v>
      </c>
      <c r="Q207" s="8">
        <f t="shared" si="3"/>
        <v>0</v>
      </c>
      <c r="R207" s="8">
        <f t="shared" si="4"/>
        <v>0</v>
      </c>
      <c r="S207" s="8">
        <f t="shared" si="5"/>
        <v>0</v>
      </c>
      <c r="T207" s="8">
        <f t="shared" si="6"/>
        <v>1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  <c r="O208" s="8">
        <f t="shared" si="1"/>
        <v>0</v>
      </c>
      <c r="P208" s="8">
        <f t="shared" si="2"/>
        <v>0</v>
      </c>
      <c r="Q208" s="8">
        <f t="shared" si="3"/>
        <v>0</v>
      </c>
      <c r="R208" s="8">
        <f t="shared" si="4"/>
        <v>0</v>
      </c>
      <c r="S208" s="8">
        <f t="shared" si="5"/>
        <v>0</v>
      </c>
      <c r="T208" s="8">
        <f t="shared" si="6"/>
        <v>1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  <c r="O209" s="8">
        <f t="shared" si="1"/>
        <v>0</v>
      </c>
      <c r="P209" s="8">
        <f t="shared" si="2"/>
        <v>0</v>
      </c>
      <c r="Q209" s="8">
        <f t="shared" si="3"/>
        <v>0</v>
      </c>
      <c r="R209" s="8">
        <f t="shared" si="4"/>
        <v>0</v>
      </c>
      <c r="S209" s="8">
        <f t="shared" si="5"/>
        <v>0</v>
      </c>
      <c r="T209" s="8">
        <f t="shared" si="6"/>
        <v>1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  <c r="O210" s="8">
        <f t="shared" si="1"/>
        <v>0</v>
      </c>
      <c r="P210" s="8">
        <f t="shared" si="2"/>
        <v>0</v>
      </c>
      <c r="Q210" s="8">
        <f t="shared" si="3"/>
        <v>0</v>
      </c>
      <c r="R210" s="8">
        <f t="shared" si="4"/>
        <v>0</v>
      </c>
      <c r="S210" s="8">
        <f t="shared" si="5"/>
        <v>1</v>
      </c>
      <c r="T210" s="8">
        <f t="shared" si="6"/>
        <v>0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  <c r="O211" s="8">
        <f t="shared" si="1"/>
        <v>0</v>
      </c>
      <c r="P211" s="8">
        <f t="shared" si="2"/>
        <v>0</v>
      </c>
      <c r="Q211" s="8">
        <f t="shared" si="3"/>
        <v>0</v>
      </c>
      <c r="R211" s="8">
        <f t="shared" si="4"/>
        <v>0</v>
      </c>
      <c r="S211" s="8">
        <f t="shared" si="5"/>
        <v>1</v>
      </c>
      <c r="T211" s="8">
        <f t="shared" si="6"/>
        <v>0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  <c r="O212" s="8">
        <f t="shared" si="1"/>
        <v>0</v>
      </c>
      <c r="P212" s="8">
        <f t="shared" si="2"/>
        <v>0</v>
      </c>
      <c r="Q212" s="8">
        <f t="shared" si="3"/>
        <v>0</v>
      </c>
      <c r="R212" s="8">
        <f t="shared" si="4"/>
        <v>0</v>
      </c>
      <c r="S212" s="8">
        <f t="shared" si="5"/>
        <v>1</v>
      </c>
      <c r="T212" s="8">
        <f t="shared" si="6"/>
        <v>0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  <c r="O213" s="8">
        <f t="shared" si="1"/>
        <v>0</v>
      </c>
      <c r="P213" s="8">
        <f t="shared" si="2"/>
        <v>0</v>
      </c>
      <c r="Q213" s="8">
        <f t="shared" si="3"/>
        <v>0</v>
      </c>
      <c r="R213" s="8">
        <f t="shared" si="4"/>
        <v>0</v>
      </c>
      <c r="S213" s="8">
        <f t="shared" si="5"/>
        <v>1</v>
      </c>
      <c r="T213" s="8">
        <f t="shared" si="6"/>
        <v>0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  <c r="O214" s="8">
        <f t="shared" si="1"/>
        <v>0</v>
      </c>
      <c r="P214" s="8">
        <f t="shared" si="2"/>
        <v>0</v>
      </c>
      <c r="Q214" s="8">
        <f t="shared" si="3"/>
        <v>1</v>
      </c>
      <c r="R214" s="8">
        <f t="shared" si="4"/>
        <v>0</v>
      </c>
      <c r="S214" s="8">
        <f t="shared" si="5"/>
        <v>0</v>
      </c>
      <c r="T214" s="8">
        <f t="shared" si="6"/>
        <v>0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  <c r="O215" s="8">
        <f t="shared" si="1"/>
        <v>0</v>
      </c>
      <c r="P215" s="8">
        <f t="shared" si="2"/>
        <v>0</v>
      </c>
      <c r="Q215" s="8">
        <f t="shared" si="3"/>
        <v>1</v>
      </c>
      <c r="R215" s="8">
        <f t="shared" si="4"/>
        <v>0</v>
      </c>
      <c r="S215" s="8">
        <f t="shared" si="5"/>
        <v>0</v>
      </c>
      <c r="T215" s="8">
        <f t="shared" si="6"/>
        <v>0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  <c r="O216" s="8">
        <f t="shared" si="1"/>
        <v>0</v>
      </c>
      <c r="P216" s="8">
        <f t="shared" si="2"/>
        <v>0</v>
      </c>
      <c r="Q216" s="8">
        <f t="shared" si="3"/>
        <v>1</v>
      </c>
      <c r="R216" s="8">
        <f t="shared" si="4"/>
        <v>0</v>
      </c>
      <c r="S216" s="8">
        <f t="shared" si="5"/>
        <v>0</v>
      </c>
      <c r="T216" s="8">
        <f t="shared" si="6"/>
        <v>0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  <c r="O217" s="8">
        <f t="shared" si="1"/>
        <v>0</v>
      </c>
      <c r="P217" s="8">
        <f t="shared" si="2"/>
        <v>0</v>
      </c>
      <c r="Q217" s="8">
        <f t="shared" si="3"/>
        <v>1</v>
      </c>
      <c r="R217" s="8">
        <f t="shared" si="4"/>
        <v>0</v>
      </c>
      <c r="S217" s="8">
        <f t="shared" si="5"/>
        <v>0</v>
      </c>
      <c r="T217" s="8">
        <f t="shared" si="6"/>
        <v>0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  <c r="O218" s="8">
        <f t="shared" si="1"/>
        <v>1</v>
      </c>
      <c r="P218" s="8">
        <f t="shared" si="2"/>
        <v>0</v>
      </c>
      <c r="Q218" s="8">
        <f t="shared" si="3"/>
        <v>0</v>
      </c>
      <c r="R218" s="8">
        <f t="shared" si="4"/>
        <v>1</v>
      </c>
      <c r="S218" s="8">
        <f t="shared" si="5"/>
        <v>0</v>
      </c>
      <c r="T218" s="8">
        <f t="shared" si="6"/>
        <v>0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  <c r="O219" s="8">
        <f t="shared" si="1"/>
        <v>1</v>
      </c>
      <c r="P219" s="8">
        <f t="shared" si="2"/>
        <v>0</v>
      </c>
      <c r="Q219" s="8">
        <f t="shared" si="3"/>
        <v>0</v>
      </c>
      <c r="R219" s="8">
        <f t="shared" si="4"/>
        <v>1</v>
      </c>
      <c r="S219" s="8">
        <f t="shared" si="5"/>
        <v>0</v>
      </c>
      <c r="T219" s="8">
        <f t="shared" si="6"/>
        <v>0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  <c r="O220" s="8">
        <f t="shared" si="1"/>
        <v>1</v>
      </c>
      <c r="P220" s="8">
        <f t="shared" si="2"/>
        <v>0</v>
      </c>
      <c r="Q220" s="8">
        <f t="shared" si="3"/>
        <v>0</v>
      </c>
      <c r="R220" s="8">
        <f t="shared" si="4"/>
        <v>1</v>
      </c>
      <c r="S220" s="8">
        <f t="shared" si="5"/>
        <v>0</v>
      </c>
      <c r="T220" s="8">
        <f t="shared" si="6"/>
        <v>0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  <c r="O221" s="8">
        <f t="shared" si="1"/>
        <v>1</v>
      </c>
      <c r="P221" s="8">
        <f t="shared" si="2"/>
        <v>0</v>
      </c>
      <c r="Q221" s="8">
        <f t="shared" si="3"/>
        <v>0</v>
      </c>
      <c r="R221" s="8">
        <f t="shared" si="4"/>
        <v>1</v>
      </c>
      <c r="S221" s="8">
        <f t="shared" si="5"/>
        <v>0</v>
      </c>
      <c r="T221" s="8">
        <f t="shared" si="6"/>
        <v>0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  <c r="O222" s="8">
        <f t="shared" si="1"/>
        <v>0</v>
      </c>
      <c r="P222" s="8">
        <f t="shared" si="2"/>
        <v>0</v>
      </c>
      <c r="Q222" s="8">
        <f t="shared" si="3"/>
        <v>0</v>
      </c>
      <c r="R222" s="8">
        <f t="shared" si="4"/>
        <v>0</v>
      </c>
      <c r="S222" s="8">
        <f t="shared" si="5"/>
        <v>1</v>
      </c>
      <c r="T222" s="8">
        <f t="shared" si="6"/>
        <v>0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  <c r="O223" s="8">
        <f t="shared" si="1"/>
        <v>0</v>
      </c>
      <c r="P223" s="8">
        <f t="shared" si="2"/>
        <v>0</v>
      </c>
      <c r="Q223" s="8">
        <f t="shared" si="3"/>
        <v>0</v>
      </c>
      <c r="R223" s="8">
        <f t="shared" si="4"/>
        <v>0</v>
      </c>
      <c r="S223" s="8">
        <f t="shared" si="5"/>
        <v>1</v>
      </c>
      <c r="T223" s="8">
        <f t="shared" si="6"/>
        <v>0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  <c r="O224" s="8">
        <f t="shared" si="1"/>
        <v>0</v>
      </c>
      <c r="P224" s="8">
        <f t="shared" si="2"/>
        <v>0</v>
      </c>
      <c r="Q224" s="8">
        <f t="shared" si="3"/>
        <v>0</v>
      </c>
      <c r="R224" s="8">
        <f t="shared" si="4"/>
        <v>0</v>
      </c>
      <c r="S224" s="8">
        <f t="shared" si="5"/>
        <v>1</v>
      </c>
      <c r="T224" s="8">
        <f t="shared" si="6"/>
        <v>0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  <c r="O225" s="8">
        <f t="shared" si="1"/>
        <v>0</v>
      </c>
      <c r="P225" s="8">
        <f t="shared" si="2"/>
        <v>0</v>
      </c>
      <c r="Q225" s="8">
        <f t="shared" si="3"/>
        <v>0</v>
      </c>
      <c r="R225" s="8">
        <f t="shared" si="4"/>
        <v>0</v>
      </c>
      <c r="S225" s="8">
        <f t="shared" si="5"/>
        <v>1</v>
      </c>
      <c r="T225" s="8">
        <f t="shared" si="6"/>
        <v>0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  <c r="O226" s="8">
        <f t="shared" si="1"/>
        <v>0</v>
      </c>
      <c r="P226" s="8">
        <f t="shared" si="2"/>
        <v>0</v>
      </c>
      <c r="Q226" s="8">
        <f t="shared" si="3"/>
        <v>0</v>
      </c>
      <c r="R226" s="8">
        <f t="shared" si="4"/>
        <v>0</v>
      </c>
      <c r="S226" s="8">
        <f t="shared" si="5"/>
        <v>0</v>
      </c>
      <c r="T226" s="8">
        <f t="shared" si="6"/>
        <v>1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  <c r="O227" s="8">
        <f t="shared" si="1"/>
        <v>0</v>
      </c>
      <c r="P227" s="8">
        <f t="shared" si="2"/>
        <v>0</v>
      </c>
      <c r="Q227" s="8">
        <f t="shared" si="3"/>
        <v>0</v>
      </c>
      <c r="R227" s="8">
        <f t="shared" si="4"/>
        <v>0</v>
      </c>
      <c r="S227" s="8">
        <f t="shared" si="5"/>
        <v>0</v>
      </c>
      <c r="T227" s="8">
        <f t="shared" si="6"/>
        <v>1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  <c r="O228" s="8">
        <f t="shared" si="1"/>
        <v>0</v>
      </c>
      <c r="P228" s="8">
        <f t="shared" si="2"/>
        <v>0</v>
      </c>
      <c r="Q228" s="8">
        <f t="shared" si="3"/>
        <v>0</v>
      </c>
      <c r="R228" s="8">
        <f t="shared" si="4"/>
        <v>0</v>
      </c>
      <c r="S228" s="8">
        <f t="shared" si="5"/>
        <v>0</v>
      </c>
      <c r="T228" s="8">
        <f t="shared" si="6"/>
        <v>1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6">
        <v>3.92</v>
      </c>
      <c r="M229" s="4">
        <v>529598.94</v>
      </c>
      <c r="N229" s="4">
        <v>84334.33</v>
      </c>
      <c r="O229" s="8">
        <f t="shared" si="1"/>
        <v>0</v>
      </c>
      <c r="P229" s="8">
        <f t="shared" si="2"/>
        <v>0</v>
      </c>
      <c r="Q229" s="8">
        <f t="shared" si="3"/>
        <v>0</v>
      </c>
      <c r="R229" s="8">
        <f t="shared" si="4"/>
        <v>0</v>
      </c>
      <c r="S229" s="8">
        <f t="shared" si="5"/>
        <v>0</v>
      </c>
      <c r="T229" s="8">
        <f t="shared" si="6"/>
        <v>1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  <c r="O230" s="8">
        <f t="shared" si="1"/>
        <v>0</v>
      </c>
      <c r="P230" s="8">
        <f t="shared" si="2"/>
        <v>0</v>
      </c>
      <c r="Q230" s="8">
        <f t="shared" si="3"/>
        <v>0</v>
      </c>
      <c r="R230" s="8">
        <f t="shared" si="4"/>
        <v>0</v>
      </c>
      <c r="S230" s="8">
        <f t="shared" si="5"/>
        <v>1</v>
      </c>
      <c r="T230" s="8">
        <f t="shared" si="6"/>
        <v>0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  <c r="O231" s="8">
        <f t="shared" si="1"/>
        <v>0</v>
      </c>
      <c r="P231" s="8">
        <f t="shared" si="2"/>
        <v>0</v>
      </c>
      <c r="Q231" s="8">
        <f t="shared" si="3"/>
        <v>0</v>
      </c>
      <c r="R231" s="8">
        <f t="shared" si="4"/>
        <v>0</v>
      </c>
      <c r="S231" s="8">
        <f t="shared" si="5"/>
        <v>1</v>
      </c>
      <c r="T231" s="8">
        <f t="shared" si="6"/>
        <v>0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  <c r="O232" s="8">
        <f t="shared" si="1"/>
        <v>0</v>
      </c>
      <c r="P232" s="8">
        <f t="shared" si="2"/>
        <v>0</v>
      </c>
      <c r="Q232" s="8">
        <f t="shared" si="3"/>
        <v>0</v>
      </c>
      <c r="R232" s="8">
        <f t="shared" si="4"/>
        <v>0</v>
      </c>
      <c r="S232" s="8">
        <f t="shared" si="5"/>
        <v>1</v>
      </c>
      <c r="T232" s="8">
        <f t="shared" si="6"/>
        <v>0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6">
        <v>4.56</v>
      </c>
      <c r="K233" s="4">
        <v>0.0</v>
      </c>
      <c r="L233" s="4">
        <v>3.7</v>
      </c>
      <c r="M233" s="4">
        <v>647512.85</v>
      </c>
      <c r="N233" s="4">
        <v>153835.57</v>
      </c>
      <c r="O233" s="8">
        <f t="shared" si="1"/>
        <v>0</v>
      </c>
      <c r="P233" s="8">
        <f t="shared" si="2"/>
        <v>0</v>
      </c>
      <c r="Q233" s="8">
        <f t="shared" si="3"/>
        <v>0</v>
      </c>
      <c r="R233" s="8">
        <f t="shared" si="4"/>
        <v>0</v>
      </c>
      <c r="S233" s="8">
        <f t="shared" si="5"/>
        <v>1</v>
      </c>
      <c r="T233" s="8">
        <f t="shared" si="6"/>
        <v>0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  <c r="O234" s="8">
        <f t="shared" si="1"/>
        <v>0</v>
      </c>
      <c r="P234" s="8">
        <f t="shared" si="2"/>
        <v>0</v>
      </c>
      <c r="Q234" s="8">
        <f t="shared" si="3"/>
        <v>1</v>
      </c>
      <c r="R234" s="8">
        <f t="shared" si="4"/>
        <v>0</v>
      </c>
      <c r="S234" s="8">
        <f t="shared" si="5"/>
        <v>0</v>
      </c>
      <c r="T234" s="8">
        <f t="shared" si="6"/>
        <v>0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  <c r="O235" s="8">
        <f t="shared" si="1"/>
        <v>0</v>
      </c>
      <c r="P235" s="8">
        <f t="shared" si="2"/>
        <v>0</v>
      </c>
      <c r="Q235" s="8">
        <f t="shared" si="3"/>
        <v>1</v>
      </c>
      <c r="R235" s="8">
        <f t="shared" si="4"/>
        <v>0</v>
      </c>
      <c r="S235" s="8">
        <f t="shared" si="5"/>
        <v>0</v>
      </c>
      <c r="T235" s="8">
        <f t="shared" si="6"/>
        <v>0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  <c r="O236" s="8">
        <f t="shared" si="1"/>
        <v>0</v>
      </c>
      <c r="P236" s="8">
        <f t="shared" si="2"/>
        <v>0</v>
      </c>
      <c r="Q236" s="8">
        <f t="shared" si="3"/>
        <v>1</v>
      </c>
      <c r="R236" s="8">
        <f t="shared" si="4"/>
        <v>0</v>
      </c>
      <c r="S236" s="8">
        <f t="shared" si="5"/>
        <v>0</v>
      </c>
      <c r="T236" s="8">
        <f t="shared" si="6"/>
        <v>0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  <c r="O237" s="8">
        <f t="shared" si="1"/>
        <v>0</v>
      </c>
      <c r="P237" s="8">
        <f t="shared" si="2"/>
        <v>0</v>
      </c>
      <c r="Q237" s="8">
        <f t="shared" si="3"/>
        <v>1</v>
      </c>
      <c r="R237" s="8">
        <f t="shared" si="4"/>
        <v>0</v>
      </c>
      <c r="S237" s="8">
        <f t="shared" si="5"/>
        <v>0</v>
      </c>
      <c r="T237" s="8">
        <f t="shared" si="6"/>
        <v>0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  <c r="O238" s="8">
        <f t="shared" si="1"/>
        <v>0</v>
      </c>
      <c r="P238" s="8">
        <f t="shared" si="2"/>
        <v>0</v>
      </c>
      <c r="Q238" s="8">
        <f t="shared" si="3"/>
        <v>1</v>
      </c>
      <c r="R238" s="8">
        <f t="shared" si="4"/>
        <v>0</v>
      </c>
      <c r="S238" s="8">
        <f t="shared" si="5"/>
        <v>0</v>
      </c>
      <c r="T238" s="8">
        <f t="shared" si="6"/>
        <v>1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  <c r="O239" s="8">
        <f t="shared" si="1"/>
        <v>0</v>
      </c>
      <c r="P239" s="8">
        <f t="shared" si="2"/>
        <v>0</v>
      </c>
      <c r="Q239" s="8">
        <f t="shared" si="3"/>
        <v>1</v>
      </c>
      <c r="R239" s="8">
        <f t="shared" si="4"/>
        <v>0</v>
      </c>
      <c r="S239" s="8">
        <f t="shared" si="5"/>
        <v>0</v>
      </c>
      <c r="T239" s="8">
        <f t="shared" si="6"/>
        <v>1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  <c r="O240" s="8">
        <f t="shared" si="1"/>
        <v>0</v>
      </c>
      <c r="P240" s="8">
        <f t="shared" si="2"/>
        <v>0</v>
      </c>
      <c r="Q240" s="8">
        <f t="shared" si="3"/>
        <v>1</v>
      </c>
      <c r="R240" s="8">
        <f t="shared" si="4"/>
        <v>0</v>
      </c>
      <c r="S240" s="8">
        <f t="shared" si="5"/>
        <v>0</v>
      </c>
      <c r="T240" s="8">
        <f t="shared" si="6"/>
        <v>1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  <c r="O241" s="8">
        <f t="shared" si="1"/>
        <v>0</v>
      </c>
      <c r="P241" s="8">
        <f t="shared" si="2"/>
        <v>0</v>
      </c>
      <c r="Q241" s="8">
        <f t="shared" si="3"/>
        <v>1</v>
      </c>
      <c r="R241" s="8">
        <f t="shared" si="4"/>
        <v>0</v>
      </c>
      <c r="S241" s="8">
        <f t="shared" si="5"/>
        <v>0</v>
      </c>
      <c r="T241" s="8">
        <f t="shared" si="6"/>
        <v>1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  <c r="O242" s="8">
        <f t="shared" si="1"/>
        <v>0</v>
      </c>
      <c r="P242" s="8">
        <f t="shared" si="2"/>
        <v>1</v>
      </c>
      <c r="Q242" s="8">
        <f t="shared" si="3"/>
        <v>0</v>
      </c>
      <c r="R242" s="8">
        <f t="shared" si="4"/>
        <v>1</v>
      </c>
      <c r="S242" s="8">
        <f t="shared" si="5"/>
        <v>0</v>
      </c>
      <c r="T242" s="8">
        <f t="shared" si="6"/>
        <v>0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  <c r="O243" s="8">
        <f t="shared" si="1"/>
        <v>0</v>
      </c>
      <c r="P243" s="8">
        <f t="shared" si="2"/>
        <v>1</v>
      </c>
      <c r="Q243" s="8">
        <f t="shared" si="3"/>
        <v>0</v>
      </c>
      <c r="R243" s="8">
        <f t="shared" si="4"/>
        <v>1</v>
      </c>
      <c r="S243" s="8">
        <f t="shared" si="5"/>
        <v>0</v>
      </c>
      <c r="T243" s="8">
        <f t="shared" si="6"/>
        <v>0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  <c r="O244" s="8">
        <f t="shared" si="1"/>
        <v>0</v>
      </c>
      <c r="P244" s="8">
        <f t="shared" si="2"/>
        <v>1</v>
      </c>
      <c r="Q244" s="8">
        <f t="shared" si="3"/>
        <v>0</v>
      </c>
      <c r="R244" s="8">
        <f t="shared" si="4"/>
        <v>1</v>
      </c>
      <c r="S244" s="8">
        <f t="shared" si="5"/>
        <v>0</v>
      </c>
      <c r="T244" s="8">
        <f t="shared" si="6"/>
        <v>0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  <c r="O245" s="8">
        <f t="shared" si="1"/>
        <v>0</v>
      </c>
      <c r="P245" s="8">
        <f t="shared" si="2"/>
        <v>1</v>
      </c>
      <c r="Q245" s="8">
        <f t="shared" si="3"/>
        <v>0</v>
      </c>
      <c r="R245" s="8">
        <f t="shared" si="4"/>
        <v>1</v>
      </c>
      <c r="S245" s="8">
        <f t="shared" si="5"/>
        <v>0</v>
      </c>
      <c r="T245" s="8">
        <f t="shared" si="6"/>
        <v>0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  <c r="O246" s="8">
        <f t="shared" si="1"/>
        <v>0</v>
      </c>
      <c r="P246" s="8">
        <f t="shared" si="2"/>
        <v>0</v>
      </c>
      <c r="Q246" s="8">
        <f t="shared" si="3"/>
        <v>0</v>
      </c>
      <c r="R246" s="8">
        <f t="shared" si="4"/>
        <v>0</v>
      </c>
      <c r="S246" s="8">
        <f t="shared" si="5"/>
        <v>1</v>
      </c>
      <c r="T246" s="8">
        <f t="shared" si="6"/>
        <v>0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  <c r="O247" s="8">
        <f t="shared" si="1"/>
        <v>0</v>
      </c>
      <c r="P247" s="8">
        <f t="shared" si="2"/>
        <v>0</v>
      </c>
      <c r="Q247" s="8">
        <f t="shared" si="3"/>
        <v>0</v>
      </c>
      <c r="R247" s="8">
        <f t="shared" si="4"/>
        <v>0</v>
      </c>
      <c r="S247" s="8">
        <f t="shared" si="5"/>
        <v>1</v>
      </c>
      <c r="T247" s="8">
        <f t="shared" si="6"/>
        <v>0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  <c r="O248" s="8">
        <f t="shared" si="1"/>
        <v>0</v>
      </c>
      <c r="P248" s="8">
        <f t="shared" si="2"/>
        <v>0</v>
      </c>
      <c r="Q248" s="8">
        <f t="shared" si="3"/>
        <v>0</v>
      </c>
      <c r="R248" s="8">
        <f t="shared" si="4"/>
        <v>0</v>
      </c>
      <c r="S248" s="8">
        <f t="shared" si="5"/>
        <v>1</v>
      </c>
      <c r="T248" s="8">
        <f t="shared" si="6"/>
        <v>0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  <c r="O249" s="8">
        <f t="shared" si="1"/>
        <v>0</v>
      </c>
      <c r="P249" s="8">
        <f t="shared" si="2"/>
        <v>0</v>
      </c>
      <c r="Q249" s="8">
        <f t="shared" si="3"/>
        <v>0</v>
      </c>
      <c r="R249" s="8">
        <f t="shared" si="4"/>
        <v>0</v>
      </c>
      <c r="S249" s="8">
        <f t="shared" si="5"/>
        <v>1</v>
      </c>
      <c r="T249" s="8">
        <f t="shared" si="6"/>
        <v>0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6">
        <v>4.56</v>
      </c>
      <c r="K250" s="4">
        <v>0.0</v>
      </c>
      <c r="L250" s="4">
        <v>3.8</v>
      </c>
      <c r="M250" s="4">
        <v>606783.67</v>
      </c>
      <c r="N250" s="4">
        <v>74515.87</v>
      </c>
      <c r="O250" s="8">
        <f t="shared" si="1"/>
        <v>1</v>
      </c>
      <c r="P250" s="8">
        <f t="shared" si="2"/>
        <v>0</v>
      </c>
      <c r="Q250" s="8">
        <f t="shared" si="3"/>
        <v>0</v>
      </c>
      <c r="R250" s="8">
        <f t="shared" si="4"/>
        <v>0</v>
      </c>
      <c r="S250" s="8">
        <f t="shared" si="5"/>
        <v>1</v>
      </c>
      <c r="T250" s="8">
        <f t="shared" si="6"/>
        <v>0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  <c r="O251" s="8">
        <f t="shared" si="1"/>
        <v>1</v>
      </c>
      <c r="P251" s="8">
        <f t="shared" si="2"/>
        <v>0</v>
      </c>
      <c r="Q251" s="8">
        <f t="shared" si="3"/>
        <v>0</v>
      </c>
      <c r="R251" s="8">
        <f t="shared" si="4"/>
        <v>0</v>
      </c>
      <c r="S251" s="8">
        <f t="shared" si="5"/>
        <v>1</v>
      </c>
      <c r="T251" s="8">
        <f t="shared" si="6"/>
        <v>0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  <c r="O252" s="8">
        <f t="shared" si="1"/>
        <v>1</v>
      </c>
      <c r="P252" s="8">
        <f t="shared" si="2"/>
        <v>0</v>
      </c>
      <c r="Q252" s="8">
        <f t="shared" si="3"/>
        <v>0</v>
      </c>
      <c r="R252" s="8">
        <f t="shared" si="4"/>
        <v>0</v>
      </c>
      <c r="S252" s="8">
        <f t="shared" si="5"/>
        <v>1</v>
      </c>
      <c r="T252" s="8">
        <f t="shared" si="6"/>
        <v>0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  <c r="O253" s="8">
        <f t="shared" si="1"/>
        <v>1</v>
      </c>
      <c r="P253" s="8">
        <f t="shared" si="2"/>
        <v>0</v>
      </c>
      <c r="Q253" s="8">
        <f t="shared" si="3"/>
        <v>0</v>
      </c>
      <c r="R253" s="8">
        <f t="shared" si="4"/>
        <v>0</v>
      </c>
      <c r="S253" s="8">
        <f t="shared" si="5"/>
        <v>1</v>
      </c>
      <c r="T253" s="8">
        <f t="shared" si="6"/>
        <v>0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  <c r="O254" s="8">
        <f t="shared" si="1"/>
        <v>0</v>
      </c>
      <c r="P254" s="8">
        <f t="shared" si="2"/>
        <v>1</v>
      </c>
      <c r="Q254" s="8">
        <f t="shared" si="3"/>
        <v>0</v>
      </c>
      <c r="R254" s="8">
        <f t="shared" si="4"/>
        <v>1</v>
      </c>
      <c r="S254" s="8">
        <f t="shared" si="5"/>
        <v>0</v>
      </c>
      <c r="T254" s="8">
        <f t="shared" si="6"/>
        <v>0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  <c r="O255" s="8">
        <f t="shared" si="1"/>
        <v>0</v>
      </c>
      <c r="P255" s="8">
        <f t="shared" si="2"/>
        <v>1</v>
      </c>
      <c r="Q255" s="8">
        <f t="shared" si="3"/>
        <v>0</v>
      </c>
      <c r="R255" s="8">
        <f t="shared" si="4"/>
        <v>1</v>
      </c>
      <c r="S255" s="8">
        <f t="shared" si="5"/>
        <v>0</v>
      </c>
      <c r="T255" s="8">
        <f t="shared" si="6"/>
        <v>0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  <c r="O256" s="8">
        <f t="shared" si="1"/>
        <v>0</v>
      </c>
      <c r="P256" s="8">
        <f t="shared" si="2"/>
        <v>1</v>
      </c>
      <c r="Q256" s="8">
        <f t="shared" si="3"/>
        <v>0</v>
      </c>
      <c r="R256" s="8">
        <f t="shared" si="4"/>
        <v>1</v>
      </c>
      <c r="S256" s="8">
        <f t="shared" si="5"/>
        <v>0</v>
      </c>
      <c r="T256" s="8">
        <f t="shared" si="6"/>
        <v>0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  <c r="O257" s="8">
        <f t="shared" si="1"/>
        <v>0</v>
      </c>
      <c r="P257" s="8">
        <f t="shared" si="2"/>
        <v>1</v>
      </c>
      <c r="Q257" s="8">
        <f t="shared" si="3"/>
        <v>0</v>
      </c>
      <c r="R257" s="8">
        <f t="shared" si="4"/>
        <v>1</v>
      </c>
      <c r="S257" s="8">
        <f t="shared" si="5"/>
        <v>0</v>
      </c>
      <c r="T257" s="8">
        <f t="shared" si="6"/>
        <v>0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  <c r="O258" s="8">
        <f t="shared" si="1"/>
        <v>0</v>
      </c>
      <c r="P258" s="8">
        <f t="shared" si="2"/>
        <v>1</v>
      </c>
      <c r="Q258" s="8">
        <f t="shared" si="3"/>
        <v>0</v>
      </c>
      <c r="R258" s="8">
        <f t="shared" si="4"/>
        <v>0</v>
      </c>
      <c r="S258" s="8">
        <f t="shared" si="5"/>
        <v>0</v>
      </c>
      <c r="T258" s="8">
        <f t="shared" si="6"/>
        <v>1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  <c r="O259" s="8">
        <f t="shared" si="1"/>
        <v>0</v>
      </c>
      <c r="P259" s="8">
        <f t="shared" si="2"/>
        <v>1</v>
      </c>
      <c r="Q259" s="8">
        <f t="shared" si="3"/>
        <v>0</v>
      </c>
      <c r="R259" s="8">
        <f t="shared" si="4"/>
        <v>0</v>
      </c>
      <c r="S259" s="8">
        <f t="shared" si="5"/>
        <v>0</v>
      </c>
      <c r="T259" s="8">
        <f t="shared" si="6"/>
        <v>1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  <c r="O260" s="8">
        <f t="shared" si="1"/>
        <v>0</v>
      </c>
      <c r="P260" s="8">
        <f t="shared" si="2"/>
        <v>1</v>
      </c>
      <c r="Q260" s="8">
        <f t="shared" si="3"/>
        <v>0</v>
      </c>
      <c r="R260" s="8">
        <f t="shared" si="4"/>
        <v>0</v>
      </c>
      <c r="S260" s="8">
        <f t="shared" si="5"/>
        <v>0</v>
      </c>
      <c r="T260" s="8">
        <f t="shared" si="6"/>
        <v>1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  <c r="O261" s="8">
        <f t="shared" si="1"/>
        <v>0</v>
      </c>
      <c r="P261" s="8">
        <f t="shared" si="2"/>
        <v>1</v>
      </c>
      <c r="Q261" s="8">
        <f t="shared" si="3"/>
        <v>0</v>
      </c>
      <c r="R261" s="8">
        <f t="shared" si="4"/>
        <v>0</v>
      </c>
      <c r="S261" s="8">
        <f t="shared" si="5"/>
        <v>0</v>
      </c>
      <c r="T261" s="8">
        <f t="shared" si="6"/>
        <v>1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  <c r="O262" s="8">
        <f t="shared" si="1"/>
        <v>0</v>
      </c>
      <c r="P262" s="8">
        <f t="shared" si="2"/>
        <v>0</v>
      </c>
      <c r="Q262" s="8">
        <f t="shared" si="3"/>
        <v>1</v>
      </c>
      <c r="R262" s="8">
        <f t="shared" si="4"/>
        <v>0</v>
      </c>
      <c r="S262" s="8">
        <f t="shared" si="5"/>
        <v>1</v>
      </c>
      <c r="T262" s="8">
        <f t="shared" si="6"/>
        <v>0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6">
        <v>4.56</v>
      </c>
      <c r="K263" s="4">
        <v>0.0</v>
      </c>
      <c r="L263" s="4">
        <v>4.2</v>
      </c>
      <c r="M263" s="4">
        <v>605751.33</v>
      </c>
      <c r="N263" s="4">
        <v>60685.53</v>
      </c>
      <c r="O263" s="8">
        <f t="shared" si="1"/>
        <v>0</v>
      </c>
      <c r="P263" s="8">
        <f t="shared" si="2"/>
        <v>0</v>
      </c>
      <c r="Q263" s="8">
        <f t="shared" si="3"/>
        <v>1</v>
      </c>
      <c r="R263" s="8">
        <f t="shared" si="4"/>
        <v>0</v>
      </c>
      <c r="S263" s="8">
        <f t="shared" si="5"/>
        <v>1</v>
      </c>
      <c r="T263" s="8">
        <f t="shared" si="6"/>
        <v>0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  <c r="O264" s="8">
        <f t="shared" si="1"/>
        <v>0</v>
      </c>
      <c r="P264" s="8">
        <f t="shared" si="2"/>
        <v>0</v>
      </c>
      <c r="Q264" s="8">
        <f t="shared" si="3"/>
        <v>1</v>
      </c>
      <c r="R264" s="8">
        <f t="shared" si="4"/>
        <v>0</v>
      </c>
      <c r="S264" s="8">
        <f t="shared" si="5"/>
        <v>1</v>
      </c>
      <c r="T264" s="8">
        <f t="shared" si="6"/>
        <v>0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  <c r="O265" s="8">
        <f t="shared" si="1"/>
        <v>0</v>
      </c>
      <c r="P265" s="8">
        <f t="shared" si="2"/>
        <v>0</v>
      </c>
      <c r="Q265" s="8">
        <f t="shared" si="3"/>
        <v>1</v>
      </c>
      <c r="R265" s="8">
        <f t="shared" si="4"/>
        <v>0</v>
      </c>
      <c r="S265" s="8">
        <f t="shared" si="5"/>
        <v>1</v>
      </c>
      <c r="T265" s="8">
        <f t="shared" si="6"/>
        <v>0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  <c r="O266" s="8">
        <f t="shared" si="1"/>
        <v>0</v>
      </c>
      <c r="P266" s="8">
        <f t="shared" si="2"/>
        <v>0</v>
      </c>
      <c r="Q266" s="8">
        <f t="shared" si="3"/>
        <v>0</v>
      </c>
      <c r="R266" s="8">
        <f t="shared" si="4"/>
        <v>0</v>
      </c>
      <c r="S266" s="8">
        <f t="shared" si="5"/>
        <v>1</v>
      </c>
      <c r="T266" s="8">
        <f t="shared" si="6"/>
        <v>0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  <c r="O267" s="8">
        <f t="shared" si="1"/>
        <v>0</v>
      </c>
      <c r="P267" s="8">
        <f t="shared" si="2"/>
        <v>0</v>
      </c>
      <c r="Q267" s="8">
        <f t="shared" si="3"/>
        <v>0</v>
      </c>
      <c r="R267" s="8">
        <f t="shared" si="4"/>
        <v>0</v>
      </c>
      <c r="S267" s="8">
        <f t="shared" si="5"/>
        <v>1</v>
      </c>
      <c r="T267" s="8">
        <f t="shared" si="6"/>
        <v>0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  <c r="O268" s="8">
        <f t="shared" si="1"/>
        <v>0</v>
      </c>
      <c r="P268" s="8">
        <f t="shared" si="2"/>
        <v>0</v>
      </c>
      <c r="Q268" s="8">
        <f t="shared" si="3"/>
        <v>0</v>
      </c>
      <c r="R268" s="8">
        <f t="shared" si="4"/>
        <v>0</v>
      </c>
      <c r="S268" s="8">
        <f t="shared" si="5"/>
        <v>1</v>
      </c>
      <c r="T268" s="8">
        <f t="shared" si="6"/>
        <v>0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  <c r="O269" s="8">
        <f t="shared" si="1"/>
        <v>0</v>
      </c>
      <c r="P269" s="8">
        <f t="shared" si="2"/>
        <v>0</v>
      </c>
      <c r="Q269" s="8">
        <f t="shared" si="3"/>
        <v>0</v>
      </c>
      <c r="R269" s="8">
        <f t="shared" si="4"/>
        <v>0</v>
      </c>
      <c r="S269" s="8">
        <f t="shared" si="5"/>
        <v>1</v>
      </c>
      <c r="T269" s="8">
        <f t="shared" si="6"/>
        <v>0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  <c r="O270" s="8">
        <f t="shared" si="1"/>
        <v>0</v>
      </c>
      <c r="P270" s="8">
        <f t="shared" si="2"/>
        <v>0</v>
      </c>
      <c r="Q270" s="8">
        <f t="shared" si="3"/>
        <v>0</v>
      </c>
      <c r="R270" s="8">
        <f t="shared" si="4"/>
        <v>0</v>
      </c>
      <c r="S270" s="8">
        <f t="shared" si="5"/>
        <v>0</v>
      </c>
      <c r="T270" s="8">
        <f t="shared" si="6"/>
        <v>1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  <c r="O271" s="8">
        <f t="shared" si="1"/>
        <v>0</v>
      </c>
      <c r="P271" s="8">
        <f t="shared" si="2"/>
        <v>0</v>
      </c>
      <c r="Q271" s="8">
        <f t="shared" si="3"/>
        <v>0</v>
      </c>
      <c r="R271" s="8">
        <f t="shared" si="4"/>
        <v>0</v>
      </c>
      <c r="S271" s="8">
        <f t="shared" si="5"/>
        <v>0</v>
      </c>
      <c r="T271" s="8">
        <f t="shared" si="6"/>
        <v>1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  <c r="O272" s="8">
        <f t="shared" si="1"/>
        <v>0</v>
      </c>
      <c r="P272" s="8">
        <f t="shared" si="2"/>
        <v>0</v>
      </c>
      <c r="Q272" s="8">
        <f t="shared" si="3"/>
        <v>0</v>
      </c>
      <c r="R272" s="8">
        <f t="shared" si="4"/>
        <v>0</v>
      </c>
      <c r="S272" s="8">
        <f t="shared" si="5"/>
        <v>0</v>
      </c>
      <c r="T272" s="8">
        <f t="shared" si="6"/>
        <v>1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  <c r="O273" s="8">
        <f t="shared" si="1"/>
        <v>0</v>
      </c>
      <c r="P273" s="8">
        <f t="shared" si="2"/>
        <v>0</v>
      </c>
      <c r="Q273" s="8">
        <f t="shared" si="3"/>
        <v>0</v>
      </c>
      <c r="R273" s="8">
        <f t="shared" si="4"/>
        <v>0</v>
      </c>
      <c r="S273" s="8">
        <f t="shared" si="5"/>
        <v>0</v>
      </c>
      <c r="T273" s="8">
        <f t="shared" si="6"/>
        <v>1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  <c r="O274" s="8">
        <f t="shared" si="1"/>
        <v>0</v>
      </c>
      <c r="P274" s="8">
        <f t="shared" si="2"/>
        <v>0</v>
      </c>
      <c r="Q274" s="8">
        <f t="shared" si="3"/>
        <v>1</v>
      </c>
      <c r="R274" s="8">
        <f t="shared" si="4"/>
        <v>0</v>
      </c>
      <c r="S274" s="8">
        <f t="shared" si="5"/>
        <v>1</v>
      </c>
      <c r="T274" s="8">
        <f t="shared" si="6"/>
        <v>0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  <c r="O275" s="8">
        <f t="shared" si="1"/>
        <v>0</v>
      </c>
      <c r="P275" s="8">
        <f t="shared" si="2"/>
        <v>0</v>
      </c>
      <c r="Q275" s="8">
        <f t="shared" si="3"/>
        <v>1</v>
      </c>
      <c r="R275" s="8">
        <f t="shared" si="4"/>
        <v>0</v>
      </c>
      <c r="S275" s="8">
        <f t="shared" si="5"/>
        <v>1</v>
      </c>
      <c r="T275" s="8">
        <f t="shared" si="6"/>
        <v>0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  <c r="O276" s="8">
        <f t="shared" si="1"/>
        <v>0</v>
      </c>
      <c r="P276" s="8">
        <f t="shared" si="2"/>
        <v>0</v>
      </c>
      <c r="Q276" s="8">
        <f t="shared" si="3"/>
        <v>1</v>
      </c>
      <c r="R276" s="8">
        <f t="shared" si="4"/>
        <v>0</v>
      </c>
      <c r="S276" s="8">
        <f t="shared" si="5"/>
        <v>1</v>
      </c>
      <c r="T276" s="8">
        <f t="shared" si="6"/>
        <v>0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  <c r="O277" s="8">
        <f t="shared" si="1"/>
        <v>0</v>
      </c>
      <c r="P277" s="8">
        <f t="shared" si="2"/>
        <v>0</v>
      </c>
      <c r="Q277" s="8">
        <f t="shared" si="3"/>
        <v>1</v>
      </c>
      <c r="R277" s="8">
        <f t="shared" si="4"/>
        <v>0</v>
      </c>
      <c r="S277" s="8">
        <f t="shared" si="5"/>
        <v>1</v>
      </c>
      <c r="T277" s="8">
        <f t="shared" si="6"/>
        <v>0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  <c r="O278" s="8">
        <f t="shared" si="1"/>
        <v>0</v>
      </c>
      <c r="P278" s="8">
        <f t="shared" si="2"/>
        <v>1</v>
      </c>
      <c r="Q278" s="8">
        <f t="shared" si="3"/>
        <v>0</v>
      </c>
      <c r="R278" s="8">
        <f t="shared" si="4"/>
        <v>0</v>
      </c>
      <c r="S278" s="8">
        <f t="shared" si="5"/>
        <v>0</v>
      </c>
      <c r="T278" s="8">
        <f t="shared" si="6"/>
        <v>0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  <c r="O279" s="8">
        <f t="shared" si="1"/>
        <v>0</v>
      </c>
      <c r="P279" s="8">
        <f t="shared" si="2"/>
        <v>1</v>
      </c>
      <c r="Q279" s="8">
        <f t="shared" si="3"/>
        <v>0</v>
      </c>
      <c r="R279" s="8">
        <f t="shared" si="4"/>
        <v>0</v>
      </c>
      <c r="S279" s="8">
        <f t="shared" si="5"/>
        <v>0</v>
      </c>
      <c r="T279" s="8">
        <f t="shared" si="6"/>
        <v>0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  <c r="O280" s="8">
        <f t="shared" si="1"/>
        <v>0</v>
      </c>
      <c r="P280" s="8">
        <f t="shared" si="2"/>
        <v>1</v>
      </c>
      <c r="Q280" s="8">
        <f t="shared" si="3"/>
        <v>0</v>
      </c>
      <c r="R280" s="8">
        <f t="shared" si="4"/>
        <v>0</v>
      </c>
      <c r="S280" s="8">
        <f t="shared" si="5"/>
        <v>0</v>
      </c>
      <c r="T280" s="8">
        <f t="shared" si="6"/>
        <v>0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  <c r="O281" s="8">
        <f t="shared" si="1"/>
        <v>0</v>
      </c>
      <c r="P281" s="8">
        <f t="shared" si="2"/>
        <v>1</v>
      </c>
      <c r="Q281" s="8">
        <f t="shared" si="3"/>
        <v>0</v>
      </c>
      <c r="R281" s="8">
        <f t="shared" si="4"/>
        <v>0</v>
      </c>
      <c r="S281" s="8">
        <f t="shared" si="5"/>
        <v>0</v>
      </c>
      <c r="T281" s="8">
        <f t="shared" si="6"/>
        <v>0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  <c r="O282" s="8">
        <f t="shared" si="1"/>
        <v>0</v>
      </c>
      <c r="P282" s="8">
        <f t="shared" si="2"/>
        <v>1</v>
      </c>
      <c r="Q282" s="8">
        <f t="shared" si="3"/>
        <v>0</v>
      </c>
      <c r="R282" s="8">
        <f t="shared" si="4"/>
        <v>0</v>
      </c>
      <c r="S282" s="8">
        <f t="shared" si="5"/>
        <v>1</v>
      </c>
      <c r="T282" s="8">
        <f t="shared" si="6"/>
        <v>0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  <c r="O283" s="8">
        <f t="shared" si="1"/>
        <v>0</v>
      </c>
      <c r="P283" s="8">
        <f t="shared" si="2"/>
        <v>1</v>
      </c>
      <c r="Q283" s="8">
        <f t="shared" si="3"/>
        <v>0</v>
      </c>
      <c r="R283" s="8">
        <f t="shared" si="4"/>
        <v>0</v>
      </c>
      <c r="S283" s="8">
        <f t="shared" si="5"/>
        <v>1</v>
      </c>
      <c r="T283" s="8">
        <f t="shared" si="6"/>
        <v>0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  <c r="O284" s="8">
        <f t="shared" si="1"/>
        <v>0</v>
      </c>
      <c r="P284" s="8">
        <f t="shared" si="2"/>
        <v>1</v>
      </c>
      <c r="Q284" s="8">
        <f t="shared" si="3"/>
        <v>0</v>
      </c>
      <c r="R284" s="8">
        <f t="shared" si="4"/>
        <v>0</v>
      </c>
      <c r="S284" s="8">
        <f t="shared" si="5"/>
        <v>1</v>
      </c>
      <c r="T284" s="8">
        <f t="shared" si="6"/>
        <v>0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  <c r="O285" s="8">
        <f t="shared" si="1"/>
        <v>0</v>
      </c>
      <c r="P285" s="8">
        <f t="shared" si="2"/>
        <v>1</v>
      </c>
      <c r="Q285" s="8">
        <f t="shared" si="3"/>
        <v>0</v>
      </c>
      <c r="R285" s="8">
        <f t="shared" si="4"/>
        <v>0</v>
      </c>
      <c r="S285" s="8">
        <f t="shared" si="5"/>
        <v>1</v>
      </c>
      <c r="T285" s="8">
        <f t="shared" si="6"/>
        <v>0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  <c r="O286" s="8">
        <f t="shared" si="1"/>
        <v>0</v>
      </c>
      <c r="P286" s="8">
        <f t="shared" si="2"/>
        <v>0</v>
      </c>
      <c r="Q286" s="8">
        <f t="shared" si="3"/>
        <v>1</v>
      </c>
      <c r="R286" s="8">
        <f t="shared" si="4"/>
        <v>0</v>
      </c>
      <c r="S286" s="8">
        <f t="shared" si="5"/>
        <v>0</v>
      </c>
      <c r="T286" s="8">
        <f t="shared" si="6"/>
        <v>0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  <c r="O287" s="8">
        <f t="shared" si="1"/>
        <v>0</v>
      </c>
      <c r="P287" s="8">
        <f t="shared" si="2"/>
        <v>0</v>
      </c>
      <c r="Q287" s="8">
        <f t="shared" si="3"/>
        <v>1</v>
      </c>
      <c r="R287" s="8">
        <f t="shared" si="4"/>
        <v>0</v>
      </c>
      <c r="S287" s="8">
        <f t="shared" si="5"/>
        <v>0</v>
      </c>
      <c r="T287" s="8">
        <f t="shared" si="6"/>
        <v>0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  <c r="O288" s="8">
        <f t="shared" si="1"/>
        <v>0</v>
      </c>
      <c r="P288" s="8">
        <f t="shared" si="2"/>
        <v>0</v>
      </c>
      <c r="Q288" s="8">
        <f t="shared" si="3"/>
        <v>1</v>
      </c>
      <c r="R288" s="8">
        <f t="shared" si="4"/>
        <v>0</v>
      </c>
      <c r="S288" s="8">
        <f t="shared" si="5"/>
        <v>0</v>
      </c>
      <c r="T288" s="8">
        <f t="shared" si="6"/>
        <v>0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  <c r="O289" s="8">
        <f t="shared" si="1"/>
        <v>0</v>
      </c>
      <c r="P289" s="8">
        <f t="shared" si="2"/>
        <v>0</v>
      </c>
      <c r="Q289" s="8">
        <f t="shared" si="3"/>
        <v>1</v>
      </c>
      <c r="R289" s="8">
        <f t="shared" si="4"/>
        <v>0</v>
      </c>
      <c r="S289" s="8">
        <f t="shared" si="5"/>
        <v>0</v>
      </c>
      <c r="T289" s="8">
        <f t="shared" si="6"/>
        <v>0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  <c r="O290" s="8">
        <f t="shared" si="1"/>
        <v>0</v>
      </c>
      <c r="P290" s="8">
        <f t="shared" si="2"/>
        <v>0</v>
      </c>
      <c r="Q290" s="8">
        <f t="shared" si="3"/>
        <v>0</v>
      </c>
      <c r="R290" s="8">
        <f t="shared" si="4"/>
        <v>0</v>
      </c>
      <c r="S290" s="8">
        <f t="shared" si="5"/>
        <v>0</v>
      </c>
      <c r="T290" s="8">
        <f t="shared" si="6"/>
        <v>0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  <c r="O291" s="8">
        <f t="shared" si="1"/>
        <v>0</v>
      </c>
      <c r="P291" s="8">
        <f t="shared" si="2"/>
        <v>0</v>
      </c>
      <c r="Q291" s="8">
        <f t="shared" si="3"/>
        <v>0</v>
      </c>
      <c r="R291" s="8">
        <f t="shared" si="4"/>
        <v>0</v>
      </c>
      <c r="S291" s="8">
        <f t="shared" si="5"/>
        <v>0</v>
      </c>
      <c r="T291" s="8">
        <f t="shared" si="6"/>
        <v>0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  <c r="O292" s="8">
        <f t="shared" si="1"/>
        <v>0</v>
      </c>
      <c r="P292" s="8">
        <f t="shared" si="2"/>
        <v>0</v>
      </c>
      <c r="Q292" s="8">
        <f t="shared" si="3"/>
        <v>0</v>
      </c>
      <c r="R292" s="8">
        <f t="shared" si="4"/>
        <v>0</v>
      </c>
      <c r="S292" s="8">
        <f t="shared" si="5"/>
        <v>0</v>
      </c>
      <c r="T292" s="8">
        <f t="shared" si="6"/>
        <v>0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  <c r="O293" s="8">
        <f t="shared" si="1"/>
        <v>0</v>
      </c>
      <c r="P293" s="8">
        <f t="shared" si="2"/>
        <v>0</v>
      </c>
      <c r="Q293" s="8">
        <f t="shared" si="3"/>
        <v>0</v>
      </c>
      <c r="R293" s="8">
        <f t="shared" si="4"/>
        <v>0</v>
      </c>
      <c r="S293" s="8">
        <f t="shared" si="5"/>
        <v>0</v>
      </c>
      <c r="T293" s="8">
        <f t="shared" si="6"/>
        <v>0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  <c r="O294" s="8">
        <f t="shared" si="1"/>
        <v>0</v>
      </c>
      <c r="P294" s="8">
        <f t="shared" si="2"/>
        <v>0</v>
      </c>
      <c r="Q294" s="8">
        <f t="shared" si="3"/>
        <v>1</v>
      </c>
      <c r="R294" s="8">
        <f t="shared" si="4"/>
        <v>0</v>
      </c>
      <c r="S294" s="8">
        <f t="shared" si="5"/>
        <v>1</v>
      </c>
      <c r="T294" s="8">
        <f t="shared" si="6"/>
        <v>0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  <c r="O295" s="8">
        <f t="shared" si="1"/>
        <v>0</v>
      </c>
      <c r="P295" s="8">
        <f t="shared" si="2"/>
        <v>0</v>
      </c>
      <c r="Q295" s="8">
        <f t="shared" si="3"/>
        <v>1</v>
      </c>
      <c r="R295" s="8">
        <f t="shared" si="4"/>
        <v>0</v>
      </c>
      <c r="S295" s="8">
        <f t="shared" si="5"/>
        <v>1</v>
      </c>
      <c r="T295" s="8">
        <f t="shared" si="6"/>
        <v>0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  <c r="O296" s="8">
        <f t="shared" si="1"/>
        <v>0</v>
      </c>
      <c r="P296" s="8">
        <f t="shared" si="2"/>
        <v>0</v>
      </c>
      <c r="Q296" s="8">
        <f t="shared" si="3"/>
        <v>1</v>
      </c>
      <c r="R296" s="8">
        <f t="shared" si="4"/>
        <v>0</v>
      </c>
      <c r="S296" s="8">
        <f t="shared" si="5"/>
        <v>1</v>
      </c>
      <c r="T296" s="8">
        <f t="shared" si="6"/>
        <v>0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  <c r="O297" s="8">
        <f t="shared" si="1"/>
        <v>0</v>
      </c>
      <c r="P297" s="8">
        <f t="shared" si="2"/>
        <v>0</v>
      </c>
      <c r="Q297" s="8">
        <f t="shared" si="3"/>
        <v>1</v>
      </c>
      <c r="R297" s="8">
        <f t="shared" si="4"/>
        <v>0</v>
      </c>
      <c r="S297" s="8">
        <f t="shared" si="5"/>
        <v>1</v>
      </c>
      <c r="T297" s="8">
        <f t="shared" si="6"/>
        <v>0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  <c r="O298" s="8">
        <f t="shared" si="1"/>
        <v>0</v>
      </c>
      <c r="P298" s="8">
        <f t="shared" si="2"/>
        <v>0</v>
      </c>
      <c r="Q298" s="8">
        <f t="shared" si="3"/>
        <v>1</v>
      </c>
      <c r="R298" s="8">
        <f t="shared" si="4"/>
        <v>0</v>
      </c>
      <c r="S298" s="8">
        <f t="shared" si="5"/>
        <v>1</v>
      </c>
      <c r="T298" s="8">
        <f t="shared" si="6"/>
        <v>0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  <c r="O299" s="8">
        <f t="shared" si="1"/>
        <v>0</v>
      </c>
      <c r="P299" s="8">
        <f t="shared" si="2"/>
        <v>0</v>
      </c>
      <c r="Q299" s="8">
        <f t="shared" si="3"/>
        <v>1</v>
      </c>
      <c r="R299" s="8">
        <f t="shared" si="4"/>
        <v>0</v>
      </c>
      <c r="S299" s="8">
        <f t="shared" si="5"/>
        <v>1</v>
      </c>
      <c r="T299" s="8">
        <f t="shared" si="6"/>
        <v>0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  <c r="O300" s="8">
        <f t="shared" si="1"/>
        <v>0</v>
      </c>
      <c r="P300" s="8">
        <f t="shared" si="2"/>
        <v>0</v>
      </c>
      <c r="Q300" s="8">
        <f t="shared" si="3"/>
        <v>1</v>
      </c>
      <c r="R300" s="8">
        <f t="shared" si="4"/>
        <v>0</v>
      </c>
      <c r="S300" s="8">
        <f t="shared" si="5"/>
        <v>1</v>
      </c>
      <c r="T300" s="8">
        <f t="shared" si="6"/>
        <v>0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  <c r="O301" s="8">
        <f t="shared" si="1"/>
        <v>0</v>
      </c>
      <c r="P301" s="8">
        <f t="shared" si="2"/>
        <v>0</v>
      </c>
      <c r="Q301" s="8">
        <f t="shared" si="3"/>
        <v>1</v>
      </c>
      <c r="R301" s="8">
        <f t="shared" si="4"/>
        <v>0</v>
      </c>
      <c r="S301" s="8">
        <f t="shared" si="5"/>
        <v>1</v>
      </c>
      <c r="T301" s="8">
        <f t="shared" si="6"/>
        <v>0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  <c r="O302" s="8">
        <f t="shared" si="1"/>
        <v>1</v>
      </c>
      <c r="P302" s="8">
        <f t="shared" si="2"/>
        <v>0</v>
      </c>
      <c r="Q302" s="8">
        <f t="shared" si="3"/>
        <v>0</v>
      </c>
      <c r="R302" s="8">
        <f t="shared" si="4"/>
        <v>0</v>
      </c>
      <c r="S302" s="8">
        <f t="shared" si="5"/>
        <v>0</v>
      </c>
      <c r="T302" s="8">
        <f t="shared" si="6"/>
        <v>1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  <c r="O303" s="8">
        <f t="shared" si="1"/>
        <v>1</v>
      </c>
      <c r="P303" s="8">
        <f t="shared" si="2"/>
        <v>0</v>
      </c>
      <c r="Q303" s="8">
        <f t="shared" si="3"/>
        <v>0</v>
      </c>
      <c r="R303" s="8">
        <f t="shared" si="4"/>
        <v>0</v>
      </c>
      <c r="S303" s="8">
        <f t="shared" si="5"/>
        <v>0</v>
      </c>
      <c r="T303" s="8">
        <f t="shared" si="6"/>
        <v>1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  <c r="O304" s="8">
        <f t="shared" si="1"/>
        <v>1</v>
      </c>
      <c r="P304" s="8">
        <f t="shared" si="2"/>
        <v>0</v>
      </c>
      <c r="Q304" s="8">
        <f t="shared" si="3"/>
        <v>0</v>
      </c>
      <c r="R304" s="8">
        <f t="shared" si="4"/>
        <v>0</v>
      </c>
      <c r="S304" s="8">
        <f t="shared" si="5"/>
        <v>0</v>
      </c>
      <c r="T304" s="8">
        <f t="shared" si="6"/>
        <v>1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  <c r="O305" s="8">
        <f t="shared" si="1"/>
        <v>1</v>
      </c>
      <c r="P305" s="8">
        <f t="shared" si="2"/>
        <v>0</v>
      </c>
      <c r="Q305" s="8">
        <f t="shared" si="3"/>
        <v>0</v>
      </c>
      <c r="R305" s="8">
        <f t="shared" si="4"/>
        <v>0</v>
      </c>
      <c r="S305" s="8">
        <f t="shared" si="5"/>
        <v>0</v>
      </c>
      <c r="T305" s="8">
        <f t="shared" si="6"/>
        <v>1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  <c r="O306" s="8">
        <f t="shared" si="1"/>
        <v>0</v>
      </c>
      <c r="P306" s="8">
        <f t="shared" si="2"/>
        <v>1</v>
      </c>
      <c r="Q306" s="8">
        <f t="shared" si="3"/>
        <v>0</v>
      </c>
      <c r="R306" s="8">
        <f t="shared" si="4"/>
        <v>0</v>
      </c>
      <c r="S306" s="8">
        <f t="shared" si="5"/>
        <v>0</v>
      </c>
      <c r="T306" s="8">
        <f t="shared" si="6"/>
        <v>0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  <c r="O307" s="8">
        <f t="shared" si="1"/>
        <v>0</v>
      </c>
      <c r="P307" s="8">
        <f t="shared" si="2"/>
        <v>1</v>
      </c>
      <c r="Q307" s="8">
        <f t="shared" si="3"/>
        <v>0</v>
      </c>
      <c r="R307" s="8">
        <f t="shared" si="4"/>
        <v>0</v>
      </c>
      <c r="S307" s="8">
        <f t="shared" si="5"/>
        <v>0</v>
      </c>
      <c r="T307" s="8">
        <f t="shared" si="6"/>
        <v>0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  <c r="O308" s="8">
        <f t="shared" si="1"/>
        <v>0</v>
      </c>
      <c r="P308" s="8">
        <f t="shared" si="2"/>
        <v>1</v>
      </c>
      <c r="Q308" s="8">
        <f t="shared" si="3"/>
        <v>0</v>
      </c>
      <c r="R308" s="8">
        <f t="shared" si="4"/>
        <v>0</v>
      </c>
      <c r="S308" s="8">
        <f t="shared" si="5"/>
        <v>0</v>
      </c>
      <c r="T308" s="8">
        <f t="shared" si="6"/>
        <v>0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  <c r="O309" s="8">
        <f t="shared" si="1"/>
        <v>0</v>
      </c>
      <c r="P309" s="8">
        <f t="shared" si="2"/>
        <v>1</v>
      </c>
      <c r="Q309" s="8">
        <f t="shared" si="3"/>
        <v>0</v>
      </c>
      <c r="R309" s="8">
        <f t="shared" si="4"/>
        <v>0</v>
      </c>
      <c r="S309" s="8">
        <f t="shared" si="5"/>
        <v>0</v>
      </c>
      <c r="T309" s="8">
        <f t="shared" si="6"/>
        <v>0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  <c r="O310" s="8">
        <f t="shared" si="1"/>
        <v>0</v>
      </c>
      <c r="P310" s="8">
        <f t="shared" si="2"/>
        <v>1</v>
      </c>
      <c r="Q310" s="8">
        <f t="shared" si="3"/>
        <v>0</v>
      </c>
      <c r="R310" s="8">
        <f t="shared" si="4"/>
        <v>0</v>
      </c>
      <c r="S310" s="8">
        <f t="shared" si="5"/>
        <v>1</v>
      </c>
      <c r="T310" s="8">
        <f t="shared" si="6"/>
        <v>0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  <c r="O311" s="8">
        <f t="shared" si="1"/>
        <v>0</v>
      </c>
      <c r="P311" s="8">
        <f t="shared" si="2"/>
        <v>1</v>
      </c>
      <c r="Q311" s="8">
        <f t="shared" si="3"/>
        <v>0</v>
      </c>
      <c r="R311" s="8">
        <f t="shared" si="4"/>
        <v>0</v>
      </c>
      <c r="S311" s="8">
        <f t="shared" si="5"/>
        <v>1</v>
      </c>
      <c r="T311" s="8">
        <f t="shared" si="6"/>
        <v>0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  <c r="O312" s="8">
        <f t="shared" si="1"/>
        <v>0</v>
      </c>
      <c r="P312" s="8">
        <f t="shared" si="2"/>
        <v>1</v>
      </c>
      <c r="Q312" s="8">
        <f t="shared" si="3"/>
        <v>0</v>
      </c>
      <c r="R312" s="8">
        <f t="shared" si="4"/>
        <v>0</v>
      </c>
      <c r="S312" s="8">
        <f t="shared" si="5"/>
        <v>1</v>
      </c>
      <c r="T312" s="8">
        <f t="shared" si="6"/>
        <v>0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6">
        <v>3.92</v>
      </c>
      <c r="M313" s="4">
        <v>771129.07</v>
      </c>
      <c r="N313" s="4">
        <v>116851.13</v>
      </c>
      <c r="O313" s="8">
        <f t="shared" si="1"/>
        <v>0</v>
      </c>
      <c r="P313" s="8">
        <f t="shared" si="2"/>
        <v>1</v>
      </c>
      <c r="Q313" s="8">
        <f t="shared" si="3"/>
        <v>0</v>
      </c>
      <c r="R313" s="8">
        <f t="shared" si="4"/>
        <v>0</v>
      </c>
      <c r="S313" s="8">
        <f t="shared" si="5"/>
        <v>1</v>
      </c>
      <c r="T313" s="8">
        <f t="shared" si="6"/>
        <v>0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  <c r="O314" s="8">
        <f t="shared" si="1"/>
        <v>1</v>
      </c>
      <c r="P314" s="8">
        <f t="shared" si="2"/>
        <v>0</v>
      </c>
      <c r="Q314" s="8">
        <f t="shared" si="3"/>
        <v>0</v>
      </c>
      <c r="R314" s="8">
        <f t="shared" si="4"/>
        <v>0</v>
      </c>
      <c r="S314" s="8">
        <f t="shared" si="5"/>
        <v>0</v>
      </c>
      <c r="T314" s="8">
        <f t="shared" si="6"/>
        <v>0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6">
        <v>3.92</v>
      </c>
      <c r="M315" s="4">
        <v>688368.46</v>
      </c>
      <c r="N315" s="4">
        <v>93588.42</v>
      </c>
      <c r="O315" s="8">
        <f t="shared" si="1"/>
        <v>1</v>
      </c>
      <c r="P315" s="8">
        <f t="shared" si="2"/>
        <v>0</v>
      </c>
      <c r="Q315" s="8">
        <f t="shared" si="3"/>
        <v>0</v>
      </c>
      <c r="R315" s="8">
        <f t="shared" si="4"/>
        <v>0</v>
      </c>
      <c r="S315" s="8">
        <f t="shared" si="5"/>
        <v>0</v>
      </c>
      <c r="T315" s="8">
        <f t="shared" si="6"/>
        <v>0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  <c r="O316" s="8">
        <f t="shared" si="1"/>
        <v>1</v>
      </c>
      <c r="P316" s="8">
        <f t="shared" si="2"/>
        <v>0</v>
      </c>
      <c r="Q316" s="8">
        <f t="shared" si="3"/>
        <v>0</v>
      </c>
      <c r="R316" s="8">
        <f t="shared" si="4"/>
        <v>0</v>
      </c>
      <c r="S316" s="8">
        <f t="shared" si="5"/>
        <v>0</v>
      </c>
      <c r="T316" s="8">
        <f t="shared" si="6"/>
        <v>0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  <c r="O317" s="8">
        <f t="shared" si="1"/>
        <v>1</v>
      </c>
      <c r="P317" s="8">
        <f t="shared" si="2"/>
        <v>0</v>
      </c>
      <c r="Q317" s="8">
        <f t="shared" si="3"/>
        <v>0</v>
      </c>
      <c r="R317" s="8">
        <f t="shared" si="4"/>
        <v>0</v>
      </c>
      <c r="S317" s="8">
        <f t="shared" si="5"/>
        <v>0</v>
      </c>
      <c r="T317" s="8">
        <f t="shared" si="6"/>
        <v>0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  <c r="O318" s="8">
        <f t="shared" si="1"/>
        <v>0</v>
      </c>
      <c r="P318" s="8">
        <f t="shared" si="2"/>
        <v>0</v>
      </c>
      <c r="Q318" s="8">
        <f t="shared" si="3"/>
        <v>0</v>
      </c>
      <c r="R318" s="8">
        <f t="shared" si="4"/>
        <v>0</v>
      </c>
      <c r="S318" s="8">
        <f t="shared" si="5"/>
        <v>0</v>
      </c>
      <c r="T318" s="8">
        <f t="shared" si="6"/>
        <v>0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  <c r="O319" s="8">
        <f t="shared" si="1"/>
        <v>0</v>
      </c>
      <c r="P319" s="8">
        <f t="shared" si="2"/>
        <v>0</v>
      </c>
      <c r="Q319" s="8">
        <f t="shared" si="3"/>
        <v>0</v>
      </c>
      <c r="R319" s="8">
        <f t="shared" si="4"/>
        <v>0</v>
      </c>
      <c r="S319" s="8">
        <f t="shared" si="5"/>
        <v>0</v>
      </c>
      <c r="T319" s="8">
        <f t="shared" si="6"/>
        <v>0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  <c r="O320" s="8">
        <f t="shared" si="1"/>
        <v>0</v>
      </c>
      <c r="P320" s="8">
        <f t="shared" si="2"/>
        <v>0</v>
      </c>
      <c r="Q320" s="8">
        <f t="shared" si="3"/>
        <v>0</v>
      </c>
      <c r="R320" s="8">
        <f t="shared" si="4"/>
        <v>0</v>
      </c>
      <c r="S320" s="8">
        <f t="shared" si="5"/>
        <v>0</v>
      </c>
      <c r="T320" s="8">
        <f t="shared" si="6"/>
        <v>0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  <c r="O321" s="8">
        <f t="shared" si="1"/>
        <v>0</v>
      </c>
      <c r="P321" s="8">
        <f t="shared" si="2"/>
        <v>0</v>
      </c>
      <c r="Q321" s="8">
        <f t="shared" si="3"/>
        <v>0</v>
      </c>
      <c r="R321" s="8">
        <f t="shared" si="4"/>
        <v>0</v>
      </c>
      <c r="S321" s="8">
        <f t="shared" si="5"/>
        <v>0</v>
      </c>
      <c r="T321" s="8">
        <f t="shared" si="6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7.75"/>
  </cols>
  <sheetData>
    <row r="2"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113</v>
      </c>
    </row>
    <row r="3">
      <c r="B3" s="10" t="s">
        <v>114</v>
      </c>
      <c r="C3" s="10" t="s">
        <v>115</v>
      </c>
      <c r="D3" s="10" t="s">
        <v>116</v>
      </c>
      <c r="E3" s="10">
        <v>2.1296</v>
      </c>
      <c r="F3" s="11">
        <v>2.48E-14</v>
      </c>
      <c r="G3" s="10">
        <v>0.1672</v>
      </c>
    </row>
    <row r="4">
      <c r="B4" s="10" t="s">
        <v>117</v>
      </c>
      <c r="C4" s="10" t="s">
        <v>115</v>
      </c>
      <c r="D4" s="10" t="s">
        <v>118</v>
      </c>
      <c r="E4" s="10">
        <v>35.678</v>
      </c>
      <c r="F4" s="11">
        <v>4.75E-94</v>
      </c>
      <c r="G4" s="10">
        <v>0.7363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2">
      <c r="B2" s="9" t="s">
        <v>119</v>
      </c>
      <c r="C2" s="9" t="s">
        <v>111</v>
      </c>
      <c r="D2" s="9" t="s">
        <v>112</v>
      </c>
    </row>
    <row r="3">
      <c r="B3" s="10" t="s">
        <v>120</v>
      </c>
      <c r="C3" s="10">
        <v>135425.92</v>
      </c>
      <c r="D3" s="10">
        <v>0.002319</v>
      </c>
    </row>
    <row r="4">
      <c r="B4" s="10" t="s">
        <v>4</v>
      </c>
      <c r="C4" s="10">
        <v>1.1767</v>
      </c>
      <c r="D4" s="11">
        <v>8.55E-17</v>
      </c>
    </row>
    <row r="5">
      <c r="B5" s="10" t="s">
        <v>5</v>
      </c>
      <c r="C5" s="10">
        <v>33.6613</v>
      </c>
      <c r="D5" s="11">
        <v>2.26E-99</v>
      </c>
    </row>
    <row r="6">
      <c r="B6" s="10" t="s">
        <v>8</v>
      </c>
      <c r="C6" s="10">
        <v>2924.4894</v>
      </c>
      <c r="D6" s="11">
        <v>4.08E-9</v>
      </c>
    </row>
    <row r="7">
      <c r="B7" s="10" t="s">
        <v>102</v>
      </c>
      <c r="C7" s="10">
        <v>-1027.6873</v>
      </c>
      <c r="D7" s="10">
        <v>0.873962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7" max="7" width="20.75"/>
    <col customWidth="1" min="17" max="17" width="14.25"/>
    <col customWidth="1" min="20" max="20" width="2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12</v>
      </c>
      <c r="G1" s="1" t="s">
        <v>8</v>
      </c>
      <c r="H1" s="7" t="s">
        <v>102</v>
      </c>
      <c r="I1" s="7" t="s">
        <v>121</v>
      </c>
      <c r="J1" s="7" t="s">
        <v>122</v>
      </c>
      <c r="N1" s="12" t="s">
        <v>123</v>
      </c>
      <c r="X1" s="7"/>
    </row>
    <row r="2">
      <c r="A2" s="2" t="s">
        <v>14</v>
      </c>
      <c r="B2" s="2" t="s">
        <v>15</v>
      </c>
      <c r="C2" s="2" t="s">
        <v>16</v>
      </c>
      <c r="D2" s="4">
        <v>56856.63</v>
      </c>
      <c r="E2" s="4">
        <v>9431.0</v>
      </c>
      <c r="F2" s="4">
        <v>658920.3</v>
      </c>
      <c r="G2" s="4">
        <v>86.9</v>
      </c>
      <c r="H2" s="8">
        <v>0.0</v>
      </c>
      <c r="I2" s="7">
        <f t="shared" ref="I2:I321" si="1"> 135425.9204 + (1.17669452 * D2)+ (33.66128796 * E2)+ (2924.489431 * G2)- (1027.687346 * H2)</f>
        <v>773926.5437</v>
      </c>
      <c r="J2" s="8">
        <f t="shared" ref="J2:J321" si="2">F2-I2</f>
        <v>-115006.2437</v>
      </c>
      <c r="N2" s="1" t="s">
        <v>0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12</v>
      </c>
      <c r="T2" s="1" t="s">
        <v>8</v>
      </c>
      <c r="U2" s="7" t="s">
        <v>102</v>
      </c>
      <c r="V2" s="7" t="s">
        <v>121</v>
      </c>
      <c r="W2" s="7" t="s">
        <v>122</v>
      </c>
    </row>
    <row r="3">
      <c r="A3" s="2" t="s">
        <v>14</v>
      </c>
      <c r="B3" s="2" t="s">
        <v>15</v>
      </c>
      <c r="C3" s="2" t="s">
        <v>16</v>
      </c>
      <c r="D3" s="4">
        <v>59921.75</v>
      </c>
      <c r="E3" s="4">
        <v>9113.0</v>
      </c>
      <c r="F3" s="4">
        <v>678722.06</v>
      </c>
      <c r="G3" s="4">
        <v>88.0</v>
      </c>
      <c r="H3" s="8">
        <v>0.0</v>
      </c>
      <c r="I3" s="7">
        <f t="shared" si="1"/>
        <v>770045.9024</v>
      </c>
      <c r="J3" s="8">
        <f t="shared" si="2"/>
        <v>-91323.84236</v>
      </c>
      <c r="N3" s="8" t="s">
        <v>49</v>
      </c>
      <c r="O3" s="8" t="s">
        <v>15</v>
      </c>
      <c r="P3" s="8" t="s">
        <v>28</v>
      </c>
      <c r="Q3" s="8">
        <v>52758.01</v>
      </c>
      <c r="R3" s="8">
        <v>4063.0</v>
      </c>
      <c r="S3" s="8">
        <v>713611.16</v>
      </c>
      <c r="T3" s="8">
        <v>91.7</v>
      </c>
      <c r="U3" s="8">
        <v>0.0</v>
      </c>
      <c r="V3" s="7">
        <v>602447.4754572853</v>
      </c>
      <c r="W3" s="8">
        <v>111163.68454271473</v>
      </c>
    </row>
    <row r="4">
      <c r="A4" s="2" t="s">
        <v>14</v>
      </c>
      <c r="B4" s="2" t="s">
        <v>15</v>
      </c>
      <c r="C4" s="2" t="s">
        <v>16</v>
      </c>
      <c r="D4" s="4">
        <v>43827.89</v>
      </c>
      <c r="E4" s="4">
        <v>8487.0</v>
      </c>
      <c r="F4" s="4">
        <v>634436.0</v>
      </c>
      <c r="G4" s="4">
        <v>84.4</v>
      </c>
      <c r="H4" s="8">
        <v>0.0</v>
      </c>
      <c r="I4" s="7">
        <f t="shared" si="1"/>
        <v>719508.2173</v>
      </c>
      <c r="J4" s="8">
        <f t="shared" si="2"/>
        <v>-85072.21728</v>
      </c>
      <c r="N4" s="8" t="s">
        <v>47</v>
      </c>
      <c r="O4" s="8" t="s">
        <v>15</v>
      </c>
      <c r="P4" s="8" t="s">
        <v>28</v>
      </c>
      <c r="Q4" s="8">
        <v>32266.64</v>
      </c>
      <c r="R4" s="8">
        <v>2414.0</v>
      </c>
      <c r="S4" s="8">
        <v>625514.04</v>
      </c>
      <c r="T4" s="8">
        <v>92.1</v>
      </c>
      <c r="U4" s="8">
        <v>0.0</v>
      </c>
      <c r="V4" s="7">
        <v>523997.7245973528</v>
      </c>
      <c r="W4" s="8">
        <v>101516.31540264725</v>
      </c>
    </row>
    <row r="5">
      <c r="A5" s="2" t="s">
        <v>14</v>
      </c>
      <c r="B5" s="2" t="s">
        <v>15</v>
      </c>
      <c r="C5" s="2" t="s">
        <v>16</v>
      </c>
      <c r="D5" s="4">
        <v>70389.11</v>
      </c>
      <c r="E5" s="4">
        <v>8302.0</v>
      </c>
      <c r="F5" s="4">
        <v>658832.62</v>
      </c>
      <c r="G5" s="4">
        <v>75.0</v>
      </c>
      <c r="H5" s="8">
        <v>0.0</v>
      </c>
      <c r="I5" s="7">
        <f t="shared" si="1"/>
        <v>717045.1204</v>
      </c>
      <c r="J5" s="8">
        <f t="shared" si="2"/>
        <v>-58212.50037</v>
      </c>
      <c r="N5" s="8" t="s">
        <v>72</v>
      </c>
      <c r="O5" s="8" t="s">
        <v>15</v>
      </c>
      <c r="P5" s="8" t="s">
        <v>21</v>
      </c>
      <c r="Q5" s="8">
        <v>78111.97</v>
      </c>
      <c r="R5" s="8">
        <v>6389.0</v>
      </c>
      <c r="S5" s="8">
        <v>787715.51</v>
      </c>
      <c r="T5" s="8">
        <v>83.9</v>
      </c>
      <c r="U5" s="8">
        <v>0.0</v>
      </c>
      <c r="V5" s="7">
        <v>687766.4794827444</v>
      </c>
      <c r="W5" s="8">
        <v>99949.03051725565</v>
      </c>
    </row>
    <row r="6">
      <c r="A6" s="2" t="s">
        <v>17</v>
      </c>
      <c r="B6" s="2" t="s">
        <v>15</v>
      </c>
      <c r="C6" s="2" t="s">
        <v>18</v>
      </c>
      <c r="D6" s="4">
        <v>48412.64</v>
      </c>
      <c r="E6" s="4">
        <v>9545.0</v>
      </c>
      <c r="F6" s="4">
        <v>741341.44</v>
      </c>
      <c r="G6" s="4">
        <v>97.6</v>
      </c>
      <c r="H6" s="8">
        <v>0.0</v>
      </c>
      <c r="I6" s="7">
        <f t="shared" si="1"/>
        <v>799119.9706</v>
      </c>
      <c r="J6" s="8">
        <f t="shared" si="2"/>
        <v>-57778.53063</v>
      </c>
      <c r="N6" s="8" t="s">
        <v>53</v>
      </c>
      <c r="O6" s="8" t="s">
        <v>24</v>
      </c>
      <c r="P6" s="8" t="s">
        <v>18</v>
      </c>
      <c r="Q6" s="8">
        <v>61541.21</v>
      </c>
      <c r="R6" s="8">
        <v>10396.0</v>
      </c>
      <c r="S6" s="8">
        <v>914544.17</v>
      </c>
      <c r="T6" s="8">
        <v>88.1</v>
      </c>
      <c r="U6" s="8">
        <v>0.0</v>
      </c>
      <c r="V6" s="7">
        <v>815431.3934644291</v>
      </c>
      <c r="W6" s="8">
        <v>99112.77653557097</v>
      </c>
    </row>
    <row r="7">
      <c r="A7" s="2" t="s">
        <v>17</v>
      </c>
      <c r="B7" s="2" t="s">
        <v>15</v>
      </c>
      <c r="C7" s="2" t="s">
        <v>18</v>
      </c>
      <c r="D7" s="4">
        <v>64811.21</v>
      </c>
      <c r="E7" s="4">
        <v>9792.0</v>
      </c>
      <c r="F7" s="4">
        <v>761835.34</v>
      </c>
      <c r="G7" s="4">
        <v>84.2</v>
      </c>
      <c r="H7" s="8">
        <v>0.0</v>
      </c>
      <c r="I7" s="7">
        <f t="shared" si="1"/>
        <v>787542.2578</v>
      </c>
      <c r="J7" s="8">
        <f t="shared" si="2"/>
        <v>-25706.91784</v>
      </c>
      <c r="N7" s="8" t="s">
        <v>85</v>
      </c>
      <c r="O7" s="8" t="s">
        <v>24</v>
      </c>
      <c r="P7" s="8" t="s">
        <v>21</v>
      </c>
      <c r="Q7" s="8">
        <v>63582.11</v>
      </c>
      <c r="R7" s="8">
        <v>6856.0</v>
      </c>
      <c r="S7" s="8">
        <v>799046.94</v>
      </c>
      <c r="T7" s="8">
        <v>89.5</v>
      </c>
      <c r="U7" s="8">
        <v>0.0</v>
      </c>
      <c r="V7" s="7">
        <v>702766.2351352973</v>
      </c>
      <c r="W7" s="8">
        <v>96280.70486470265</v>
      </c>
    </row>
    <row r="8">
      <c r="A8" s="2" t="s">
        <v>17</v>
      </c>
      <c r="B8" s="2" t="s">
        <v>15</v>
      </c>
      <c r="C8" s="2" t="s">
        <v>18</v>
      </c>
      <c r="D8" s="4">
        <v>46213.45</v>
      </c>
      <c r="E8" s="4">
        <v>10616.0</v>
      </c>
      <c r="F8" s="4">
        <v>806615.54</v>
      </c>
      <c r="G8" s="4">
        <v>85.2</v>
      </c>
      <c r="H8" s="8">
        <v>0.0</v>
      </c>
      <c r="I8" s="7">
        <f t="shared" si="1"/>
        <v>796319.7663</v>
      </c>
      <c r="J8" s="8">
        <f t="shared" si="2"/>
        <v>10295.77373</v>
      </c>
      <c r="N8" s="8" t="s">
        <v>38</v>
      </c>
      <c r="O8" s="8" t="s">
        <v>27</v>
      </c>
      <c r="P8" s="8" t="s">
        <v>18</v>
      </c>
      <c r="Q8" s="8">
        <v>79346.1</v>
      </c>
      <c r="R8" s="8">
        <v>9628.0</v>
      </c>
      <c r="S8" s="8">
        <v>685379.08</v>
      </c>
      <c r="T8" s="8">
        <v>99.0</v>
      </c>
      <c r="U8" s="8">
        <v>0.0</v>
      </c>
      <c r="V8" s="7">
        <v>842407.3756012521</v>
      </c>
      <c r="W8" s="8">
        <v>-157028.29560125212</v>
      </c>
    </row>
    <row r="9">
      <c r="A9" s="2" t="s">
        <v>17</v>
      </c>
      <c r="B9" s="2" t="s">
        <v>15</v>
      </c>
      <c r="C9" s="2" t="s">
        <v>18</v>
      </c>
      <c r="D9" s="4">
        <v>68148.52</v>
      </c>
      <c r="E9" s="4">
        <v>8567.0</v>
      </c>
      <c r="F9" s="4">
        <v>850164.26</v>
      </c>
      <c r="G9" s="4">
        <v>95.6</v>
      </c>
      <c r="H9" s="8">
        <v>0.0</v>
      </c>
      <c r="I9" s="7">
        <f t="shared" si="1"/>
        <v>783573.354</v>
      </c>
      <c r="J9" s="8">
        <f t="shared" si="2"/>
        <v>66590.90601</v>
      </c>
      <c r="N9" s="8" t="s">
        <v>33</v>
      </c>
      <c r="O9" s="8" t="s">
        <v>27</v>
      </c>
      <c r="P9" s="8" t="s">
        <v>16</v>
      </c>
      <c r="Q9" s="8">
        <v>138855.51</v>
      </c>
      <c r="R9" s="8">
        <v>5145.0</v>
      </c>
      <c r="S9" s="8">
        <v>595467.6</v>
      </c>
      <c r="T9" s="8">
        <v>88.2</v>
      </c>
      <c r="U9" s="8">
        <v>0.0</v>
      </c>
      <c r="V9" s="7">
        <v>729943.7324572052</v>
      </c>
      <c r="W9" s="8">
        <v>-134476.1324572052</v>
      </c>
    </row>
    <row r="10">
      <c r="A10" s="2" t="s">
        <v>19</v>
      </c>
      <c r="B10" s="2" t="s">
        <v>20</v>
      </c>
      <c r="C10" s="2" t="s">
        <v>21</v>
      </c>
      <c r="D10" s="4">
        <v>34285.21</v>
      </c>
      <c r="E10" s="4">
        <v>9172.0</v>
      </c>
      <c r="F10" s="4">
        <v>723060.76</v>
      </c>
      <c r="G10" s="4">
        <v>88.3</v>
      </c>
      <c r="H10" s="8">
        <v>1.0</v>
      </c>
      <c r="I10" s="7">
        <f t="shared" si="1"/>
        <v>741715.2017</v>
      </c>
      <c r="J10" s="8">
        <f t="shared" si="2"/>
        <v>-18654.4417</v>
      </c>
      <c r="N10" s="8" t="s">
        <v>30</v>
      </c>
      <c r="O10" s="8" t="s">
        <v>20</v>
      </c>
      <c r="P10" s="8" t="s">
        <v>16</v>
      </c>
      <c r="Q10" s="8">
        <v>54597.83</v>
      </c>
      <c r="R10" s="8">
        <v>9429.0</v>
      </c>
      <c r="S10" s="8">
        <v>641865.03</v>
      </c>
      <c r="T10" s="8">
        <v>83.3</v>
      </c>
      <c r="U10" s="8">
        <v>1.0</v>
      </c>
      <c r="V10" s="7">
        <v>759645.4541960317</v>
      </c>
      <c r="W10" s="8">
        <v>-117780.42419603164</v>
      </c>
    </row>
    <row r="11">
      <c r="A11" s="2" t="s">
        <v>19</v>
      </c>
      <c r="B11" s="2" t="s">
        <v>20</v>
      </c>
      <c r="C11" s="2" t="s">
        <v>21</v>
      </c>
      <c r="D11" s="4">
        <v>68133.44</v>
      </c>
      <c r="E11" s="4">
        <v>9459.0</v>
      </c>
      <c r="F11" s="4">
        <v>779010.94</v>
      </c>
      <c r="G11" s="4">
        <v>85.0</v>
      </c>
      <c r="H11" s="8">
        <v>1.0</v>
      </c>
      <c r="I11" s="7">
        <f t="shared" si="1"/>
        <v>781554.203</v>
      </c>
      <c r="J11" s="8">
        <f t="shared" si="2"/>
        <v>-2543.262979</v>
      </c>
      <c r="N11" s="8" t="s">
        <v>14</v>
      </c>
      <c r="O11" s="8" t="s">
        <v>15</v>
      </c>
      <c r="P11" s="8" t="s">
        <v>16</v>
      </c>
      <c r="Q11" s="8">
        <v>56856.63</v>
      </c>
      <c r="R11" s="8">
        <v>9431.0</v>
      </c>
      <c r="S11" s="8">
        <v>658920.3</v>
      </c>
      <c r="T11" s="8">
        <v>86.9</v>
      </c>
      <c r="U11" s="8">
        <v>0.0</v>
      </c>
      <c r="V11" s="7">
        <v>773926.5436513277</v>
      </c>
      <c r="W11" s="8">
        <v>-115006.24365132768</v>
      </c>
    </row>
    <row r="12">
      <c r="A12" s="2" t="s">
        <v>19</v>
      </c>
      <c r="B12" s="2" t="s">
        <v>20</v>
      </c>
      <c r="C12" s="2" t="s">
        <v>21</v>
      </c>
      <c r="D12" s="4">
        <v>67979.88</v>
      </c>
      <c r="E12" s="4">
        <v>11230.0</v>
      </c>
      <c r="F12" s="4">
        <v>910791.94</v>
      </c>
      <c r="G12" s="4">
        <v>85.3</v>
      </c>
      <c r="H12" s="8">
        <v>1.0</v>
      </c>
      <c r="I12" s="7">
        <f t="shared" si="1"/>
        <v>841864.9976</v>
      </c>
      <c r="J12" s="8">
        <f t="shared" si="2"/>
        <v>68926.94242</v>
      </c>
      <c r="N12" s="8" t="s">
        <v>44</v>
      </c>
      <c r="O12" s="8" t="s">
        <v>24</v>
      </c>
      <c r="P12" s="8" t="s">
        <v>28</v>
      </c>
      <c r="Q12" s="8">
        <v>141540.29</v>
      </c>
      <c r="R12" s="8">
        <v>5400.0</v>
      </c>
      <c r="S12" s="8">
        <v>627171.9</v>
      </c>
      <c r="T12" s="8">
        <v>87.0</v>
      </c>
      <c r="U12" s="8">
        <v>0.0</v>
      </c>
      <c r="V12" s="7">
        <v>738177.1394832109</v>
      </c>
      <c r="W12" s="8">
        <v>-111005.23948321084</v>
      </c>
    </row>
    <row r="13">
      <c r="A13" s="2" t="s">
        <v>19</v>
      </c>
      <c r="B13" s="2" t="s">
        <v>20</v>
      </c>
      <c r="C13" s="2" t="s">
        <v>21</v>
      </c>
      <c r="D13" s="4">
        <v>71838.86</v>
      </c>
      <c r="E13" s="4">
        <v>10979.0</v>
      </c>
      <c r="F13" s="4">
        <v>930581.7</v>
      </c>
      <c r="G13" s="4">
        <v>88.6</v>
      </c>
      <c r="H13" s="8">
        <v>1.0</v>
      </c>
      <c r="I13" s="7">
        <f t="shared" si="1"/>
        <v>847607.67</v>
      </c>
      <c r="J13" s="8">
        <f t="shared" si="2"/>
        <v>82974.02996</v>
      </c>
    </row>
    <row r="14">
      <c r="A14" s="2" t="s">
        <v>22</v>
      </c>
      <c r="B14" s="2" t="s">
        <v>15</v>
      </c>
      <c r="C14" s="2" t="s">
        <v>16</v>
      </c>
      <c r="D14" s="4">
        <v>55716.82</v>
      </c>
      <c r="E14" s="4">
        <v>10054.0</v>
      </c>
      <c r="F14" s="4">
        <v>726606.28</v>
      </c>
      <c r="G14" s="4">
        <v>84.9</v>
      </c>
      <c r="H14" s="8">
        <v>0.0</v>
      </c>
      <c r="I14" s="7">
        <f t="shared" si="1"/>
        <v>787707.339</v>
      </c>
      <c r="J14" s="8">
        <f t="shared" si="2"/>
        <v>-61101.05901</v>
      </c>
    </row>
    <row r="15">
      <c r="A15" s="2" t="s">
        <v>22</v>
      </c>
      <c r="B15" s="2" t="s">
        <v>15</v>
      </c>
      <c r="C15" s="2" t="s">
        <v>16</v>
      </c>
      <c r="D15" s="4">
        <v>59909.51</v>
      </c>
      <c r="E15" s="4">
        <v>8895.0</v>
      </c>
      <c r="F15" s="4">
        <v>746501.09</v>
      </c>
      <c r="G15" s="4">
        <v>88.8</v>
      </c>
      <c r="H15" s="8">
        <v>0.0</v>
      </c>
      <c r="I15" s="7">
        <f t="shared" si="1"/>
        <v>765032.9304</v>
      </c>
      <c r="J15" s="8">
        <f t="shared" si="2"/>
        <v>-18531.84039</v>
      </c>
    </row>
    <row r="16">
      <c r="A16" s="2" t="s">
        <v>22</v>
      </c>
      <c r="B16" s="2" t="s">
        <v>15</v>
      </c>
      <c r="C16" s="2" t="s">
        <v>16</v>
      </c>
      <c r="D16" s="4">
        <v>75305.71</v>
      </c>
      <c r="E16" s="4">
        <v>10940.0</v>
      </c>
      <c r="F16" s="4">
        <v>834017.02</v>
      </c>
      <c r="G16" s="4">
        <v>76.5</v>
      </c>
      <c r="H16" s="8">
        <v>0.0</v>
      </c>
      <c r="I16" s="7">
        <f t="shared" si="1"/>
        <v>816015.6684</v>
      </c>
      <c r="J16" s="8">
        <f t="shared" si="2"/>
        <v>18001.35156</v>
      </c>
    </row>
    <row r="17">
      <c r="A17" s="2" t="s">
        <v>22</v>
      </c>
      <c r="B17" s="2" t="s">
        <v>15</v>
      </c>
      <c r="C17" s="2" t="s">
        <v>16</v>
      </c>
      <c r="D17" s="4">
        <v>71828.26</v>
      </c>
      <c r="E17" s="4">
        <v>12775.0</v>
      </c>
      <c r="F17" s="4">
        <v>922168.6</v>
      </c>
      <c r="G17" s="4">
        <v>81.7</v>
      </c>
      <c r="H17" s="8">
        <v>0.0</v>
      </c>
      <c r="I17" s="7">
        <f t="shared" si="1"/>
        <v>888899.5805</v>
      </c>
      <c r="J17" s="8">
        <f t="shared" si="2"/>
        <v>33269.01948</v>
      </c>
    </row>
    <row r="18">
      <c r="A18" s="2" t="s">
        <v>23</v>
      </c>
      <c r="B18" s="2" t="s">
        <v>24</v>
      </c>
      <c r="C18" s="2" t="s">
        <v>16</v>
      </c>
      <c r="D18" s="4">
        <v>59117.9</v>
      </c>
      <c r="E18" s="4">
        <v>4263.0</v>
      </c>
      <c r="F18" s="4">
        <v>573155.19</v>
      </c>
      <c r="G18" s="4">
        <v>87.6</v>
      </c>
      <c r="H18" s="8">
        <v>0.0</v>
      </c>
      <c r="I18" s="7">
        <f t="shared" si="1"/>
        <v>604672.9741</v>
      </c>
      <c r="J18" s="8">
        <f t="shared" si="2"/>
        <v>-31517.78409</v>
      </c>
    </row>
    <row r="19">
      <c r="A19" s="2" t="s">
        <v>23</v>
      </c>
      <c r="B19" s="2" t="s">
        <v>24</v>
      </c>
      <c r="C19" s="2" t="s">
        <v>16</v>
      </c>
      <c r="D19" s="4">
        <v>78831.12</v>
      </c>
      <c r="E19" s="4">
        <v>5538.0</v>
      </c>
      <c r="F19" s="4">
        <v>666573.2</v>
      </c>
      <c r="G19" s="4">
        <v>94.1</v>
      </c>
      <c r="H19" s="8">
        <v>0.0</v>
      </c>
      <c r="I19" s="7">
        <f t="shared" si="1"/>
        <v>689796.7355</v>
      </c>
      <c r="J19" s="8">
        <f t="shared" si="2"/>
        <v>-23223.53549</v>
      </c>
    </row>
    <row r="20">
      <c r="A20" s="2" t="s">
        <v>23</v>
      </c>
      <c r="B20" s="2" t="s">
        <v>24</v>
      </c>
      <c r="C20" s="2" t="s">
        <v>16</v>
      </c>
      <c r="D20" s="4">
        <v>48804.22</v>
      </c>
      <c r="E20" s="4">
        <v>7057.0</v>
      </c>
      <c r="F20" s="4">
        <v>666152.52</v>
      </c>
      <c r="G20" s="4">
        <v>87.7</v>
      </c>
      <c r="H20" s="8">
        <v>0.0</v>
      </c>
      <c r="I20" s="7">
        <f t="shared" si="1"/>
        <v>686879.0109</v>
      </c>
      <c r="J20" s="8">
        <f t="shared" si="2"/>
        <v>-20726.49086</v>
      </c>
    </row>
    <row r="21">
      <c r="A21" s="2" t="s">
        <v>23</v>
      </c>
      <c r="B21" s="2" t="s">
        <v>24</v>
      </c>
      <c r="C21" s="2" t="s">
        <v>16</v>
      </c>
      <c r="D21" s="4">
        <v>41441.93</v>
      </c>
      <c r="E21" s="4">
        <v>4865.0</v>
      </c>
      <c r="F21" s="4">
        <v>591619.95</v>
      </c>
      <c r="G21" s="4">
        <v>88.3</v>
      </c>
      <c r="H21" s="8">
        <v>0.0</v>
      </c>
      <c r="I21" s="7">
        <f t="shared" si="1"/>
        <v>606184.995</v>
      </c>
      <c r="J21" s="8">
        <f t="shared" si="2"/>
        <v>-14565.04501</v>
      </c>
    </row>
    <row r="22">
      <c r="A22" s="2" t="s">
        <v>25</v>
      </c>
      <c r="B22" s="2" t="s">
        <v>20</v>
      </c>
      <c r="C22" s="2" t="s">
        <v>16</v>
      </c>
      <c r="D22" s="4">
        <v>30356.28</v>
      </c>
      <c r="E22" s="4">
        <v>2822.0</v>
      </c>
      <c r="F22" s="4">
        <v>415721.82</v>
      </c>
      <c r="G22" s="4">
        <v>84.8</v>
      </c>
      <c r="H22" s="8">
        <v>1.0</v>
      </c>
      <c r="I22" s="7">
        <f t="shared" si="1"/>
        <v>513107.1597</v>
      </c>
      <c r="J22" s="8">
        <f t="shared" si="2"/>
        <v>-97385.33975</v>
      </c>
    </row>
    <row r="23">
      <c r="A23" s="2" t="s">
        <v>25</v>
      </c>
      <c r="B23" s="2" t="s">
        <v>20</v>
      </c>
      <c r="C23" s="2" t="s">
        <v>16</v>
      </c>
      <c r="D23" s="4">
        <v>33518.88</v>
      </c>
      <c r="E23" s="4">
        <v>2121.0</v>
      </c>
      <c r="F23" s="4">
        <v>491905.13</v>
      </c>
      <c r="G23" s="4">
        <v>88.5</v>
      </c>
      <c r="H23" s="8">
        <v>1.0</v>
      </c>
      <c r="I23" s="7">
        <f t="shared" si="1"/>
        <v>504052.6219</v>
      </c>
      <c r="J23" s="8">
        <f t="shared" si="2"/>
        <v>-12147.49187</v>
      </c>
    </row>
    <row r="24">
      <c r="A24" s="2" t="s">
        <v>25</v>
      </c>
      <c r="B24" s="2" t="s">
        <v>20</v>
      </c>
      <c r="C24" s="2" t="s">
        <v>16</v>
      </c>
      <c r="D24" s="4">
        <v>62060.43</v>
      </c>
      <c r="E24" s="4">
        <v>2613.0</v>
      </c>
      <c r="F24" s="4">
        <v>565810.99</v>
      </c>
      <c r="G24" s="4">
        <v>92.1</v>
      </c>
      <c r="H24" s="8">
        <v>1.0</v>
      </c>
      <c r="I24" s="7">
        <f t="shared" si="1"/>
        <v>564726.823</v>
      </c>
      <c r="J24" s="8">
        <f t="shared" si="2"/>
        <v>1084.167022</v>
      </c>
    </row>
    <row r="25">
      <c r="A25" s="2" t="s">
        <v>25</v>
      </c>
      <c r="B25" s="2" t="s">
        <v>20</v>
      </c>
      <c r="C25" s="2" t="s">
        <v>16</v>
      </c>
      <c r="D25" s="4">
        <v>42267.37</v>
      </c>
      <c r="E25" s="4">
        <v>3364.0</v>
      </c>
      <c r="F25" s="4">
        <v>555929.4</v>
      </c>
      <c r="G25" s="4">
        <v>82.0</v>
      </c>
      <c r="H25" s="8">
        <v>1.0</v>
      </c>
      <c r="I25" s="7">
        <f t="shared" si="1"/>
        <v>537178.7217</v>
      </c>
      <c r="J25" s="8">
        <f t="shared" si="2"/>
        <v>18750.67825</v>
      </c>
    </row>
    <row r="26">
      <c r="A26" s="2" t="s">
        <v>26</v>
      </c>
      <c r="B26" s="2" t="s">
        <v>27</v>
      </c>
      <c r="C26" s="2" t="s">
        <v>28</v>
      </c>
      <c r="D26" s="4">
        <v>172415.52</v>
      </c>
      <c r="E26" s="4">
        <v>8927.0</v>
      </c>
      <c r="F26" s="4">
        <v>800451.94</v>
      </c>
      <c r="G26" s="4">
        <v>86.2</v>
      </c>
      <c r="H26" s="8">
        <v>0.0</v>
      </c>
      <c r="I26" s="7">
        <f t="shared" si="1"/>
        <v>890891.6245</v>
      </c>
      <c r="J26" s="8">
        <f t="shared" si="2"/>
        <v>-90439.68452</v>
      </c>
    </row>
    <row r="27">
      <c r="A27" s="2" t="s">
        <v>26</v>
      </c>
      <c r="B27" s="2" t="s">
        <v>27</v>
      </c>
      <c r="C27" s="2" t="s">
        <v>28</v>
      </c>
      <c r="D27" s="4">
        <v>57696.69</v>
      </c>
      <c r="E27" s="4">
        <v>10218.0</v>
      </c>
      <c r="F27" s="4">
        <v>811771.14</v>
      </c>
      <c r="G27" s="4">
        <v>94.8</v>
      </c>
      <c r="H27" s="8">
        <v>0.0</v>
      </c>
      <c r="I27" s="7">
        <f t="shared" si="1"/>
        <v>824509.9378</v>
      </c>
      <c r="J27" s="8">
        <f t="shared" si="2"/>
        <v>-12738.79778</v>
      </c>
    </row>
    <row r="28">
      <c r="A28" s="2" t="s">
        <v>26</v>
      </c>
      <c r="B28" s="2" t="s">
        <v>27</v>
      </c>
      <c r="C28" s="2" t="s">
        <v>28</v>
      </c>
      <c r="D28" s="4">
        <v>55270.52</v>
      </c>
      <c r="E28" s="4">
        <v>9315.0</v>
      </c>
      <c r="F28" s="4">
        <v>783672.82</v>
      </c>
      <c r="G28" s="4">
        <v>91.9</v>
      </c>
      <c r="H28" s="8">
        <v>0.0</v>
      </c>
      <c r="I28" s="7">
        <f t="shared" si="1"/>
        <v>782777.9145</v>
      </c>
      <c r="J28" s="8">
        <f t="shared" si="2"/>
        <v>894.9055421</v>
      </c>
    </row>
    <row r="29">
      <c r="A29" s="2" t="s">
        <v>26</v>
      </c>
      <c r="B29" s="2" t="s">
        <v>27</v>
      </c>
      <c r="C29" s="2" t="s">
        <v>28</v>
      </c>
      <c r="D29" s="4">
        <v>52715.1</v>
      </c>
      <c r="E29" s="4">
        <v>7223.0</v>
      </c>
      <c r="F29" s="4">
        <v>701641.97</v>
      </c>
      <c r="G29" s="4">
        <v>84.2</v>
      </c>
      <c r="H29" s="8">
        <v>0.0</v>
      </c>
      <c r="I29" s="7">
        <f t="shared" si="1"/>
        <v>686832.9827</v>
      </c>
      <c r="J29" s="8">
        <f t="shared" si="2"/>
        <v>14808.98728</v>
      </c>
    </row>
    <row r="30">
      <c r="A30" s="2" t="s">
        <v>29</v>
      </c>
      <c r="B30" s="2" t="s">
        <v>15</v>
      </c>
      <c r="C30" s="2" t="s">
        <v>16</v>
      </c>
      <c r="D30" s="4">
        <v>68600.62</v>
      </c>
      <c r="E30" s="4">
        <v>3988.0</v>
      </c>
      <c r="F30" s="4">
        <v>511844.41</v>
      </c>
      <c r="G30" s="4">
        <v>85.0</v>
      </c>
      <c r="H30" s="8">
        <v>0.0</v>
      </c>
      <c r="I30" s="7">
        <f t="shared" si="1"/>
        <v>598970.712</v>
      </c>
      <c r="J30" s="8">
        <f t="shared" si="2"/>
        <v>-87126.30204</v>
      </c>
    </row>
    <row r="31">
      <c r="A31" s="2" t="s">
        <v>29</v>
      </c>
      <c r="B31" s="2" t="s">
        <v>15</v>
      </c>
      <c r="C31" s="2" t="s">
        <v>16</v>
      </c>
      <c r="D31" s="4">
        <v>69816.35</v>
      </c>
      <c r="E31" s="4">
        <v>971.0</v>
      </c>
      <c r="F31" s="4">
        <v>427917.38</v>
      </c>
      <c r="G31" s="4">
        <v>89.9</v>
      </c>
      <c r="H31" s="8">
        <v>0.0</v>
      </c>
      <c r="I31" s="7">
        <f t="shared" si="1"/>
        <v>513175.1473</v>
      </c>
      <c r="J31" s="8">
        <f t="shared" si="2"/>
        <v>-85257.76731</v>
      </c>
    </row>
    <row r="32">
      <c r="A32" s="2" t="s">
        <v>29</v>
      </c>
      <c r="B32" s="2" t="s">
        <v>15</v>
      </c>
      <c r="C32" s="2" t="s">
        <v>16</v>
      </c>
      <c r="D32" s="4">
        <v>44970.08</v>
      </c>
      <c r="E32" s="4">
        <v>2471.0</v>
      </c>
      <c r="F32" s="4">
        <v>500173.02</v>
      </c>
      <c r="G32" s="4">
        <v>87.6</v>
      </c>
      <c r="H32" s="8">
        <v>0.0</v>
      </c>
      <c r="I32" s="7">
        <f t="shared" si="1"/>
        <v>527704.2838</v>
      </c>
      <c r="J32" s="8">
        <f t="shared" si="2"/>
        <v>-27531.2638</v>
      </c>
    </row>
    <row r="33">
      <c r="A33" s="2" t="s">
        <v>29</v>
      </c>
      <c r="B33" s="2" t="s">
        <v>15</v>
      </c>
      <c r="C33" s="2" t="s">
        <v>16</v>
      </c>
      <c r="D33" s="4">
        <v>63176.73</v>
      </c>
      <c r="E33" s="4">
        <v>2390.0</v>
      </c>
      <c r="F33" s="4">
        <v>537383.79</v>
      </c>
      <c r="G33" s="4">
        <v>87.5</v>
      </c>
      <c r="H33" s="8">
        <v>0.0</v>
      </c>
      <c r="I33" s="7">
        <f t="shared" si="1"/>
        <v>546108.9358</v>
      </c>
      <c r="J33" s="8">
        <f t="shared" si="2"/>
        <v>-8725.145819</v>
      </c>
    </row>
    <row r="34">
      <c r="A34" s="2" t="s">
        <v>30</v>
      </c>
      <c r="B34" s="2" t="s">
        <v>20</v>
      </c>
      <c r="C34" s="2" t="s">
        <v>16</v>
      </c>
      <c r="D34" s="4">
        <v>54597.83</v>
      </c>
      <c r="E34" s="4">
        <v>9429.0</v>
      </c>
      <c r="F34" s="4">
        <v>641865.03</v>
      </c>
      <c r="G34" s="4">
        <v>83.3</v>
      </c>
      <c r="H34" s="8">
        <v>1.0</v>
      </c>
      <c r="I34" s="7">
        <f t="shared" si="1"/>
        <v>759645.4542</v>
      </c>
      <c r="J34" s="8">
        <f t="shared" si="2"/>
        <v>-117780.4242</v>
      </c>
    </row>
    <row r="35">
      <c r="A35" s="2" t="s">
        <v>30</v>
      </c>
      <c r="B35" s="2" t="s">
        <v>20</v>
      </c>
      <c r="C35" s="2" t="s">
        <v>16</v>
      </c>
      <c r="D35" s="4">
        <v>73771.91</v>
      </c>
      <c r="E35" s="4">
        <v>11695.0</v>
      </c>
      <c r="F35" s="4">
        <v>799477.76</v>
      </c>
      <c r="G35" s="4">
        <v>84.7</v>
      </c>
      <c r="H35" s="8">
        <v>1.0</v>
      </c>
      <c r="I35" s="7">
        <f t="shared" si="1"/>
        <v>862578.2528</v>
      </c>
      <c r="J35" s="8">
        <f t="shared" si="2"/>
        <v>-63100.49278</v>
      </c>
    </row>
    <row r="36">
      <c r="A36" s="2" t="s">
        <v>30</v>
      </c>
      <c r="B36" s="2" t="s">
        <v>20</v>
      </c>
      <c r="C36" s="2" t="s">
        <v>16</v>
      </c>
      <c r="D36" s="4">
        <v>52483.77</v>
      </c>
      <c r="E36" s="4">
        <v>10453.0</v>
      </c>
      <c r="F36" s="4">
        <v>800979.78</v>
      </c>
      <c r="G36" s="4">
        <v>99.0</v>
      </c>
      <c r="H36" s="8">
        <v>1.0</v>
      </c>
      <c r="I36" s="7">
        <f t="shared" si="1"/>
        <v>837541.4943</v>
      </c>
      <c r="J36" s="8">
        <f t="shared" si="2"/>
        <v>-36561.71432</v>
      </c>
    </row>
    <row r="37">
      <c r="A37" s="2" t="s">
        <v>30</v>
      </c>
      <c r="B37" s="2" t="s">
        <v>20</v>
      </c>
      <c r="C37" s="2" t="s">
        <v>16</v>
      </c>
      <c r="D37" s="4">
        <v>74413.88</v>
      </c>
      <c r="E37" s="4">
        <v>9449.0</v>
      </c>
      <c r="F37" s="4">
        <v>798952.17</v>
      </c>
      <c r="G37" s="4">
        <v>92.1</v>
      </c>
      <c r="H37" s="8">
        <v>1.0</v>
      </c>
      <c r="I37" s="7">
        <f t="shared" si="1"/>
        <v>809371.6244</v>
      </c>
      <c r="J37" s="8">
        <f t="shared" si="2"/>
        <v>-10419.45439</v>
      </c>
    </row>
    <row r="38">
      <c r="A38" s="2" t="s">
        <v>31</v>
      </c>
      <c r="B38" s="2" t="s">
        <v>20</v>
      </c>
      <c r="C38" s="2" t="s">
        <v>28</v>
      </c>
      <c r="D38" s="4">
        <v>61245.41</v>
      </c>
      <c r="E38" s="4">
        <v>8156.0</v>
      </c>
      <c r="F38" s="4">
        <v>718330.53</v>
      </c>
      <c r="G38" s="4">
        <v>92.9</v>
      </c>
      <c r="H38" s="8">
        <v>1.0</v>
      </c>
      <c r="I38" s="7">
        <f t="shared" si="1"/>
        <v>752691.9041</v>
      </c>
      <c r="J38" s="8">
        <f t="shared" si="2"/>
        <v>-34361.37412</v>
      </c>
    </row>
    <row r="39">
      <c r="A39" s="2" t="s">
        <v>31</v>
      </c>
      <c r="B39" s="2" t="s">
        <v>20</v>
      </c>
      <c r="C39" s="2" t="s">
        <v>28</v>
      </c>
      <c r="D39" s="4">
        <v>93381.26</v>
      </c>
      <c r="E39" s="4">
        <v>7562.0</v>
      </c>
      <c r="F39" s="4">
        <v>736633.4</v>
      </c>
      <c r="G39" s="4">
        <v>82.9</v>
      </c>
      <c r="H39" s="8">
        <v>1.0</v>
      </c>
      <c r="I39" s="7">
        <f t="shared" si="1"/>
        <v>741266.2834</v>
      </c>
      <c r="J39" s="8">
        <f t="shared" si="2"/>
        <v>-4632.88335</v>
      </c>
    </row>
    <row r="40">
      <c r="A40" s="2" t="s">
        <v>31</v>
      </c>
      <c r="B40" s="2" t="s">
        <v>20</v>
      </c>
      <c r="C40" s="2" t="s">
        <v>28</v>
      </c>
      <c r="D40" s="4">
        <v>65012.19</v>
      </c>
      <c r="E40" s="4">
        <v>9598.0</v>
      </c>
      <c r="F40" s="4">
        <v>828623.85</v>
      </c>
      <c r="G40" s="4">
        <v>98.3</v>
      </c>
      <c r="H40" s="8">
        <v>1.0</v>
      </c>
      <c r="I40" s="7">
        <f t="shared" si="1"/>
        <v>821456.0737</v>
      </c>
      <c r="J40" s="8">
        <f t="shared" si="2"/>
        <v>7167.776332</v>
      </c>
    </row>
    <row r="41">
      <c r="A41" s="2" t="s">
        <v>31</v>
      </c>
      <c r="B41" s="2" t="s">
        <v>20</v>
      </c>
      <c r="C41" s="2" t="s">
        <v>28</v>
      </c>
      <c r="D41" s="4">
        <v>75269.87</v>
      </c>
      <c r="E41" s="4">
        <v>8838.0</v>
      </c>
      <c r="F41" s="4">
        <v>820593.93</v>
      </c>
      <c r="G41" s="4">
        <v>83.1</v>
      </c>
      <c r="H41" s="8">
        <v>1.0</v>
      </c>
      <c r="I41" s="7">
        <f t="shared" si="1"/>
        <v>763491.4113</v>
      </c>
      <c r="J41" s="8">
        <f t="shared" si="2"/>
        <v>57102.51869</v>
      </c>
    </row>
    <row r="42">
      <c r="A42" s="2" t="s">
        <v>32</v>
      </c>
      <c r="B42" s="2" t="s">
        <v>15</v>
      </c>
      <c r="C42" s="2" t="s">
        <v>28</v>
      </c>
      <c r="D42" s="4">
        <v>40462.94</v>
      </c>
      <c r="E42" s="4">
        <v>3660.0</v>
      </c>
      <c r="F42" s="4">
        <v>592195.85</v>
      </c>
      <c r="G42" s="4">
        <v>95.2</v>
      </c>
      <c r="H42" s="8">
        <v>0.0</v>
      </c>
      <c r="I42" s="7">
        <f t="shared" si="1"/>
        <v>584650.1479</v>
      </c>
      <c r="J42" s="8">
        <f t="shared" si="2"/>
        <v>7545.702074</v>
      </c>
    </row>
    <row r="43">
      <c r="A43" s="2" t="s">
        <v>32</v>
      </c>
      <c r="B43" s="2" t="s">
        <v>15</v>
      </c>
      <c r="C43" s="2" t="s">
        <v>28</v>
      </c>
      <c r="D43" s="4">
        <v>46123.88</v>
      </c>
      <c r="E43" s="4">
        <v>3227.0</v>
      </c>
      <c r="F43" s="4">
        <v>532644.46</v>
      </c>
      <c r="G43" s="4">
        <v>75.4</v>
      </c>
      <c r="H43" s="8">
        <v>0.0</v>
      </c>
      <c r="I43" s="7">
        <f t="shared" si="1"/>
        <v>518831.1166</v>
      </c>
      <c r="J43" s="8">
        <f t="shared" si="2"/>
        <v>13813.34342</v>
      </c>
    </row>
    <row r="44">
      <c r="A44" s="2" t="s">
        <v>32</v>
      </c>
      <c r="B44" s="2" t="s">
        <v>15</v>
      </c>
      <c r="C44" s="2" t="s">
        <v>28</v>
      </c>
      <c r="D44" s="4">
        <v>64882.14</v>
      </c>
      <c r="E44" s="4">
        <v>3642.0</v>
      </c>
      <c r="F44" s="4">
        <v>605178.0</v>
      </c>
      <c r="G44" s="4">
        <v>87.8</v>
      </c>
      <c r="H44" s="8">
        <v>0.0</v>
      </c>
      <c r="I44" s="7">
        <f t="shared" si="1"/>
        <v>591136.9618</v>
      </c>
      <c r="J44" s="8">
        <f t="shared" si="2"/>
        <v>14041.03822</v>
      </c>
    </row>
    <row r="45">
      <c r="A45" s="2" t="s">
        <v>32</v>
      </c>
      <c r="B45" s="2" t="s">
        <v>15</v>
      </c>
      <c r="C45" s="2" t="s">
        <v>28</v>
      </c>
      <c r="D45" s="4">
        <v>68077.54</v>
      </c>
      <c r="E45" s="4">
        <v>3360.0</v>
      </c>
      <c r="F45" s="4">
        <v>657429.18</v>
      </c>
      <c r="G45" s="4">
        <v>88.2</v>
      </c>
      <c r="H45" s="8">
        <v>0.0</v>
      </c>
      <c r="I45" s="7">
        <f t="shared" si="1"/>
        <v>586574.284</v>
      </c>
      <c r="J45" s="8">
        <f t="shared" si="2"/>
        <v>70854.89599</v>
      </c>
    </row>
    <row r="46">
      <c r="A46" s="2" t="s">
        <v>33</v>
      </c>
      <c r="B46" s="2" t="s">
        <v>27</v>
      </c>
      <c r="C46" s="2" t="s">
        <v>16</v>
      </c>
      <c r="D46" s="4">
        <v>138855.51</v>
      </c>
      <c r="E46" s="4">
        <v>5145.0</v>
      </c>
      <c r="F46" s="4">
        <v>595467.6</v>
      </c>
      <c r="G46" s="4">
        <v>88.2</v>
      </c>
      <c r="H46" s="8">
        <v>0.0</v>
      </c>
      <c r="I46" s="7">
        <f t="shared" si="1"/>
        <v>729943.7325</v>
      </c>
      <c r="J46" s="8">
        <f t="shared" si="2"/>
        <v>-134476.1325</v>
      </c>
    </row>
    <row r="47">
      <c r="A47" s="2" t="s">
        <v>33</v>
      </c>
      <c r="B47" s="2" t="s">
        <v>27</v>
      </c>
      <c r="C47" s="2" t="s">
        <v>16</v>
      </c>
      <c r="D47" s="4">
        <v>63630.21</v>
      </c>
      <c r="E47" s="4">
        <v>4460.0</v>
      </c>
      <c r="F47" s="4">
        <v>599603.4</v>
      </c>
      <c r="G47" s="4">
        <v>98.6</v>
      </c>
      <c r="H47" s="8">
        <v>0.0</v>
      </c>
      <c r="I47" s="7">
        <f t="shared" si="1"/>
        <v>648783.242</v>
      </c>
      <c r="J47" s="8">
        <f t="shared" si="2"/>
        <v>-49179.84201</v>
      </c>
    </row>
    <row r="48">
      <c r="A48" s="2" t="s">
        <v>33</v>
      </c>
      <c r="B48" s="2" t="s">
        <v>27</v>
      </c>
      <c r="C48" s="2" t="s">
        <v>16</v>
      </c>
      <c r="D48" s="4">
        <v>42093.84</v>
      </c>
      <c r="E48" s="4">
        <v>4074.0</v>
      </c>
      <c r="F48" s="4">
        <v>585365.73</v>
      </c>
      <c r="G48" s="4">
        <v>88.0</v>
      </c>
      <c r="H48" s="8">
        <v>0.0</v>
      </c>
      <c r="I48" s="7">
        <f t="shared" si="1"/>
        <v>579448.6683</v>
      </c>
      <c r="J48" s="8">
        <f t="shared" si="2"/>
        <v>5917.061669</v>
      </c>
    </row>
    <row r="49">
      <c r="A49" s="2" t="s">
        <v>33</v>
      </c>
      <c r="B49" s="2" t="s">
        <v>27</v>
      </c>
      <c r="C49" s="2" t="s">
        <v>16</v>
      </c>
      <c r="D49" s="4">
        <v>50043.65</v>
      </c>
      <c r="E49" s="4">
        <v>3804.0</v>
      </c>
      <c r="F49" s="4">
        <v>614800.09</v>
      </c>
      <c r="G49" s="4">
        <v>90.9</v>
      </c>
      <c r="H49" s="8">
        <v>0.0</v>
      </c>
      <c r="I49" s="7">
        <f t="shared" si="1"/>
        <v>588195.6378</v>
      </c>
      <c r="J49" s="8">
        <f t="shared" si="2"/>
        <v>26604.45221</v>
      </c>
    </row>
    <row r="50">
      <c r="A50" s="2" t="s">
        <v>34</v>
      </c>
      <c r="B50" s="2" t="s">
        <v>20</v>
      </c>
      <c r="C50" s="2" t="s">
        <v>28</v>
      </c>
      <c r="D50" s="4">
        <v>46624.05</v>
      </c>
      <c r="E50" s="4">
        <v>5104.0</v>
      </c>
      <c r="F50" s="4">
        <v>622811.74</v>
      </c>
      <c r="G50" s="4">
        <v>97.3</v>
      </c>
      <c r="H50" s="8">
        <v>1.0</v>
      </c>
      <c r="I50" s="7">
        <f t="shared" si="1"/>
        <v>645620.5326</v>
      </c>
      <c r="J50" s="8">
        <f t="shared" si="2"/>
        <v>-22808.79257</v>
      </c>
    </row>
    <row r="51">
      <c r="A51" s="2" t="s">
        <v>34</v>
      </c>
      <c r="B51" s="2" t="s">
        <v>20</v>
      </c>
      <c r="C51" s="2" t="s">
        <v>28</v>
      </c>
      <c r="D51" s="4">
        <v>49710.29</v>
      </c>
      <c r="E51" s="4">
        <v>5559.0</v>
      </c>
      <c r="F51" s="4">
        <v>603297.57</v>
      </c>
      <c r="G51" s="4">
        <v>71.0</v>
      </c>
      <c r="H51" s="8">
        <v>1.0</v>
      </c>
      <c r="I51" s="7">
        <f t="shared" si="1"/>
        <v>587653.9083</v>
      </c>
      <c r="J51" s="8">
        <f t="shared" si="2"/>
        <v>15643.66174</v>
      </c>
    </row>
    <row r="52">
      <c r="A52" s="2" t="s">
        <v>34</v>
      </c>
      <c r="B52" s="2" t="s">
        <v>20</v>
      </c>
      <c r="C52" s="2" t="s">
        <v>28</v>
      </c>
      <c r="D52" s="4">
        <v>48287.85</v>
      </c>
      <c r="E52" s="4">
        <v>5150.0</v>
      </c>
      <c r="F52" s="4">
        <v>625672.86</v>
      </c>
      <c r="G52" s="4">
        <v>80.4</v>
      </c>
      <c r="H52" s="8">
        <v>1.0</v>
      </c>
      <c r="I52" s="7">
        <f t="shared" si="1"/>
        <v>599702.8648</v>
      </c>
      <c r="J52" s="8">
        <f t="shared" si="2"/>
        <v>25969.99522</v>
      </c>
    </row>
    <row r="53">
      <c r="A53" s="2" t="s">
        <v>34</v>
      </c>
      <c r="B53" s="2" t="s">
        <v>20</v>
      </c>
      <c r="C53" s="2" t="s">
        <v>28</v>
      </c>
      <c r="D53" s="4">
        <v>65312.49</v>
      </c>
      <c r="E53" s="4">
        <v>7189.0</v>
      </c>
      <c r="F53" s="4">
        <v>773815.14</v>
      </c>
      <c r="G53" s="4">
        <v>93.7</v>
      </c>
      <c r="H53" s="8">
        <v>1.0</v>
      </c>
      <c r="I53" s="7">
        <f t="shared" si="1"/>
        <v>727266.741</v>
      </c>
      <c r="J53" s="8">
        <f t="shared" si="2"/>
        <v>46548.39905</v>
      </c>
    </row>
    <row r="54">
      <c r="A54" s="2" t="s">
        <v>35</v>
      </c>
      <c r="B54" s="2" t="s">
        <v>27</v>
      </c>
      <c r="C54" s="2" t="s">
        <v>18</v>
      </c>
      <c r="D54" s="4">
        <v>53015.46</v>
      </c>
      <c r="E54" s="4">
        <v>3279.0</v>
      </c>
      <c r="F54" s="4">
        <v>463534.25</v>
      </c>
      <c r="G54" s="4">
        <v>84.3</v>
      </c>
      <c r="H54" s="8">
        <v>0.0</v>
      </c>
      <c r="I54" s="7">
        <f t="shared" si="1"/>
        <v>554718.7439</v>
      </c>
      <c r="J54" s="8">
        <f t="shared" si="2"/>
        <v>-91184.49391</v>
      </c>
    </row>
    <row r="55">
      <c r="A55" s="2" t="s">
        <v>35</v>
      </c>
      <c r="B55" s="2" t="s">
        <v>27</v>
      </c>
      <c r="C55" s="2" t="s">
        <v>18</v>
      </c>
      <c r="D55" s="4">
        <v>27808.6</v>
      </c>
      <c r="E55" s="4">
        <v>2863.0</v>
      </c>
      <c r="F55" s="4">
        <v>487464.91</v>
      </c>
      <c r="G55" s="4">
        <v>89.3</v>
      </c>
      <c r="H55" s="8">
        <v>0.0</v>
      </c>
      <c r="I55" s="7">
        <f t="shared" si="1"/>
        <v>525677.3212</v>
      </c>
      <c r="J55" s="8">
        <f t="shared" si="2"/>
        <v>-38212.41125</v>
      </c>
    </row>
    <row r="56">
      <c r="A56" s="2" t="s">
        <v>35</v>
      </c>
      <c r="B56" s="2" t="s">
        <v>27</v>
      </c>
      <c r="C56" s="2" t="s">
        <v>18</v>
      </c>
      <c r="D56" s="4">
        <v>99874.01</v>
      </c>
      <c r="E56" s="4">
        <v>5887.0</v>
      </c>
      <c r="F56" s="4">
        <v>746677.75</v>
      </c>
      <c r="G56" s="4">
        <v>88.7</v>
      </c>
      <c r="H56" s="8">
        <v>0.0</v>
      </c>
      <c r="I56" s="7">
        <f t="shared" si="1"/>
        <v>710513.3354</v>
      </c>
      <c r="J56" s="8">
        <f t="shared" si="2"/>
        <v>36164.41459</v>
      </c>
    </row>
    <row r="57">
      <c r="A57" s="2" t="s">
        <v>35</v>
      </c>
      <c r="B57" s="2" t="s">
        <v>27</v>
      </c>
      <c r="C57" s="2" t="s">
        <v>18</v>
      </c>
      <c r="D57" s="4">
        <v>81195.5</v>
      </c>
      <c r="E57" s="4">
        <v>5516.0</v>
      </c>
      <c r="F57" s="4">
        <v>720852.5</v>
      </c>
      <c r="G57" s="4">
        <v>88.0</v>
      </c>
      <c r="H57" s="8">
        <v>0.0</v>
      </c>
      <c r="I57" s="7">
        <f t="shared" si="1"/>
        <v>673998.9546</v>
      </c>
      <c r="J57" s="8">
        <f t="shared" si="2"/>
        <v>46853.54539</v>
      </c>
    </row>
    <row r="58">
      <c r="A58" s="2" t="s">
        <v>36</v>
      </c>
      <c r="B58" s="2" t="s">
        <v>15</v>
      </c>
      <c r="C58" s="2" t="s">
        <v>21</v>
      </c>
      <c r="D58" s="4">
        <v>52952.12</v>
      </c>
      <c r="E58" s="4">
        <v>4377.0</v>
      </c>
      <c r="F58" s="4">
        <v>553756.43</v>
      </c>
      <c r="G58" s="4">
        <v>88.6</v>
      </c>
      <c r="H58" s="8">
        <v>0.0</v>
      </c>
      <c r="I58" s="7">
        <f t="shared" si="1"/>
        <v>604179.6108</v>
      </c>
      <c r="J58" s="8">
        <f t="shared" si="2"/>
        <v>-50423.18081</v>
      </c>
    </row>
    <row r="59">
      <c r="A59" s="2" t="s">
        <v>36</v>
      </c>
      <c r="B59" s="2" t="s">
        <v>15</v>
      </c>
      <c r="C59" s="2" t="s">
        <v>21</v>
      </c>
      <c r="D59" s="4">
        <v>118910.48</v>
      </c>
      <c r="E59" s="4">
        <v>4022.0</v>
      </c>
      <c r="F59" s="4">
        <v>617291.15</v>
      </c>
      <c r="G59" s="4">
        <v>87.1</v>
      </c>
      <c r="H59" s="8">
        <v>0.0</v>
      </c>
      <c r="I59" s="7">
        <f t="shared" si="1"/>
        <v>665455.9602</v>
      </c>
      <c r="J59" s="8">
        <f t="shared" si="2"/>
        <v>-48164.8102</v>
      </c>
    </row>
    <row r="60">
      <c r="A60" s="2" t="s">
        <v>36</v>
      </c>
      <c r="B60" s="2" t="s">
        <v>15</v>
      </c>
      <c r="C60" s="2" t="s">
        <v>21</v>
      </c>
      <c r="D60" s="4">
        <v>59405.68</v>
      </c>
      <c r="E60" s="4">
        <v>2515.0</v>
      </c>
      <c r="F60" s="4">
        <v>500298.48</v>
      </c>
      <c r="G60" s="4">
        <v>76.0</v>
      </c>
      <c r="H60" s="8">
        <v>0.0</v>
      </c>
      <c r="I60" s="7">
        <f t="shared" si="1"/>
        <v>512247.5945</v>
      </c>
      <c r="J60" s="8">
        <f t="shared" si="2"/>
        <v>-11949.11449</v>
      </c>
    </row>
    <row r="61">
      <c r="A61" s="2" t="s">
        <v>36</v>
      </c>
      <c r="B61" s="2" t="s">
        <v>15</v>
      </c>
      <c r="C61" s="2" t="s">
        <v>21</v>
      </c>
      <c r="D61" s="4">
        <v>19365.06</v>
      </c>
      <c r="E61" s="4">
        <v>2378.0</v>
      </c>
      <c r="F61" s="4">
        <v>518049.26</v>
      </c>
      <c r="G61" s="4">
        <v>94.8</v>
      </c>
      <c r="H61" s="8">
        <v>0.0</v>
      </c>
      <c r="I61" s="7">
        <f t="shared" si="1"/>
        <v>515500.8212</v>
      </c>
      <c r="J61" s="8">
        <f t="shared" si="2"/>
        <v>2548.438791</v>
      </c>
    </row>
    <row r="62">
      <c r="A62" s="2" t="s">
        <v>37</v>
      </c>
      <c r="B62" s="2" t="s">
        <v>24</v>
      </c>
      <c r="C62" s="2" t="s">
        <v>18</v>
      </c>
      <c r="D62" s="4">
        <v>50343.19</v>
      </c>
      <c r="E62" s="4">
        <v>3845.0</v>
      </c>
      <c r="F62" s="4">
        <v>572011.2</v>
      </c>
      <c r="G62" s="4">
        <v>88.7</v>
      </c>
      <c r="H62" s="8">
        <v>0.0</v>
      </c>
      <c r="I62" s="7">
        <f t="shared" si="1"/>
        <v>583494.3409</v>
      </c>
      <c r="J62" s="8">
        <f t="shared" si="2"/>
        <v>-11483.14093</v>
      </c>
    </row>
    <row r="63">
      <c r="A63" s="2" t="s">
        <v>37</v>
      </c>
      <c r="B63" s="2" t="s">
        <v>24</v>
      </c>
      <c r="C63" s="2" t="s">
        <v>18</v>
      </c>
      <c r="D63" s="4">
        <v>74954.47</v>
      </c>
      <c r="E63" s="4">
        <v>6620.0</v>
      </c>
      <c r="F63" s="4">
        <v>761860.19</v>
      </c>
      <c r="G63" s="4">
        <v>91.1</v>
      </c>
      <c r="H63" s="8">
        <v>0.0</v>
      </c>
      <c r="I63" s="7">
        <f t="shared" si="1"/>
        <v>712883.148</v>
      </c>
      <c r="J63" s="8">
        <f t="shared" si="2"/>
        <v>48977.04204</v>
      </c>
    </row>
    <row r="64">
      <c r="A64" s="2" t="s">
        <v>37</v>
      </c>
      <c r="B64" s="2" t="s">
        <v>24</v>
      </c>
      <c r="C64" s="2" t="s">
        <v>18</v>
      </c>
      <c r="D64" s="4">
        <v>37284.66</v>
      </c>
      <c r="E64" s="4">
        <v>3928.0</v>
      </c>
      <c r="F64" s="4">
        <v>615966.48</v>
      </c>
      <c r="G64" s="4">
        <v>86.5</v>
      </c>
      <c r="H64" s="8">
        <v>0.0</v>
      </c>
      <c r="I64" s="7">
        <f t="shared" si="1"/>
        <v>564488.4504</v>
      </c>
      <c r="J64" s="8">
        <f t="shared" si="2"/>
        <v>51478.02961</v>
      </c>
    </row>
    <row r="65">
      <c r="A65" s="2" t="s">
        <v>37</v>
      </c>
      <c r="B65" s="2" t="s">
        <v>24</v>
      </c>
      <c r="C65" s="2" t="s">
        <v>18</v>
      </c>
      <c r="D65" s="4">
        <v>74907.98</v>
      </c>
      <c r="E65" s="4">
        <v>5306.0</v>
      </c>
      <c r="F65" s="4">
        <v>749559.71</v>
      </c>
      <c r="G65" s="4">
        <v>95.6</v>
      </c>
      <c r="H65" s="8">
        <v>0.0</v>
      </c>
      <c r="I65" s="7">
        <f t="shared" si="1"/>
        <v>681757.7135</v>
      </c>
      <c r="J65" s="8">
        <f t="shared" si="2"/>
        <v>67801.99651</v>
      </c>
    </row>
    <row r="66">
      <c r="A66" s="2" t="s">
        <v>38</v>
      </c>
      <c r="B66" s="2" t="s">
        <v>27</v>
      </c>
      <c r="C66" s="2" t="s">
        <v>18</v>
      </c>
      <c r="D66" s="4">
        <v>79346.1</v>
      </c>
      <c r="E66" s="4">
        <v>9628.0</v>
      </c>
      <c r="F66" s="4">
        <v>685379.08</v>
      </c>
      <c r="G66" s="4">
        <v>99.0</v>
      </c>
      <c r="H66" s="8">
        <v>0.0</v>
      </c>
      <c r="I66" s="7">
        <f t="shared" si="1"/>
        <v>842407.3756</v>
      </c>
      <c r="J66" s="8">
        <f t="shared" si="2"/>
        <v>-157028.2956</v>
      </c>
    </row>
    <row r="67">
      <c r="A67" s="2" t="s">
        <v>38</v>
      </c>
      <c r="B67" s="2" t="s">
        <v>27</v>
      </c>
      <c r="C67" s="2" t="s">
        <v>18</v>
      </c>
      <c r="D67" s="4">
        <v>70040.31</v>
      </c>
      <c r="E67" s="4">
        <v>9175.0</v>
      </c>
      <c r="F67" s="4">
        <v>784502.68</v>
      </c>
      <c r="G67" s="4">
        <v>95.1</v>
      </c>
      <c r="H67" s="8">
        <v>0.0</v>
      </c>
      <c r="I67" s="7">
        <f t="shared" si="1"/>
        <v>804803.2313</v>
      </c>
      <c r="J67" s="8">
        <f t="shared" si="2"/>
        <v>-20300.55128</v>
      </c>
    </row>
    <row r="68">
      <c r="A68" s="2" t="s">
        <v>38</v>
      </c>
      <c r="B68" s="2" t="s">
        <v>27</v>
      </c>
      <c r="C68" s="2" t="s">
        <v>18</v>
      </c>
      <c r="D68" s="4">
        <v>51148.69</v>
      </c>
      <c r="E68" s="4">
        <v>7940.0</v>
      </c>
      <c r="F68" s="4">
        <v>717141.55</v>
      </c>
      <c r="G68" s="4">
        <v>93.3</v>
      </c>
      <c r="H68" s="8">
        <v>0.0</v>
      </c>
      <c r="I68" s="7">
        <f t="shared" si="1"/>
        <v>735737.7939</v>
      </c>
      <c r="J68" s="8">
        <f t="shared" si="2"/>
        <v>-18596.24394</v>
      </c>
    </row>
    <row r="69">
      <c r="A69" s="2" t="s">
        <v>38</v>
      </c>
      <c r="B69" s="2" t="s">
        <v>27</v>
      </c>
      <c r="C69" s="2" t="s">
        <v>18</v>
      </c>
      <c r="D69" s="4">
        <v>42018.4</v>
      </c>
      <c r="E69" s="4">
        <v>8296.0</v>
      </c>
      <c r="F69" s="4">
        <v>740496.65</v>
      </c>
      <c r="G69" s="4">
        <v>91.8</v>
      </c>
      <c r="H69" s="8">
        <v>0.0</v>
      </c>
      <c r="I69" s="7">
        <f t="shared" si="1"/>
        <v>732590.9161</v>
      </c>
      <c r="J69" s="8">
        <f t="shared" si="2"/>
        <v>7905.733899</v>
      </c>
    </row>
    <row r="70">
      <c r="A70" s="2" t="s">
        <v>39</v>
      </c>
      <c r="B70" s="2" t="s">
        <v>15</v>
      </c>
      <c r="C70" s="2" t="s">
        <v>18</v>
      </c>
      <c r="D70" s="4">
        <v>36813.45</v>
      </c>
      <c r="E70" s="4">
        <v>2834.0</v>
      </c>
      <c r="F70" s="4">
        <v>479050.5</v>
      </c>
      <c r="G70" s="4">
        <v>81.8</v>
      </c>
      <c r="H70" s="8">
        <v>0.0</v>
      </c>
      <c r="I70" s="7">
        <f t="shared" si="1"/>
        <v>513363.4308</v>
      </c>
      <c r="J70" s="8">
        <f t="shared" si="2"/>
        <v>-34312.93081</v>
      </c>
    </row>
    <row r="71">
      <c r="A71" s="2" t="s">
        <v>39</v>
      </c>
      <c r="B71" s="2" t="s">
        <v>15</v>
      </c>
      <c r="C71" s="2" t="s">
        <v>18</v>
      </c>
      <c r="D71" s="4">
        <v>60571.82</v>
      </c>
      <c r="E71" s="4">
        <v>3193.0</v>
      </c>
      <c r="F71" s="4">
        <v>605023.87</v>
      </c>
      <c r="G71" s="4">
        <v>99.0</v>
      </c>
      <c r="H71" s="8">
        <v>0.0</v>
      </c>
      <c r="I71" s="7">
        <f t="shared" si="1"/>
        <v>603705.3952</v>
      </c>
      <c r="J71" s="8">
        <f t="shared" si="2"/>
        <v>1318.474814</v>
      </c>
    </row>
    <row r="72">
      <c r="A72" s="2" t="s">
        <v>39</v>
      </c>
      <c r="B72" s="2" t="s">
        <v>15</v>
      </c>
      <c r="C72" s="2" t="s">
        <v>18</v>
      </c>
      <c r="D72" s="4">
        <v>55081.16</v>
      </c>
      <c r="E72" s="4">
        <v>5485.0</v>
      </c>
      <c r="F72" s="4">
        <v>674774.09</v>
      </c>
      <c r="G72" s="4">
        <v>88.0</v>
      </c>
      <c r="H72" s="8">
        <v>0.0</v>
      </c>
      <c r="I72" s="7">
        <f t="shared" si="1"/>
        <v>642226.8539</v>
      </c>
      <c r="J72" s="8">
        <f t="shared" si="2"/>
        <v>32547.23608</v>
      </c>
    </row>
    <row r="73">
      <c r="A73" s="2" t="s">
        <v>39</v>
      </c>
      <c r="B73" s="2" t="s">
        <v>15</v>
      </c>
      <c r="C73" s="2" t="s">
        <v>18</v>
      </c>
      <c r="D73" s="4">
        <v>70937.24</v>
      </c>
      <c r="E73" s="4">
        <v>3595.0</v>
      </c>
      <c r="F73" s="4">
        <v>661927.14</v>
      </c>
      <c r="G73" s="4">
        <v>88.9</v>
      </c>
      <c r="H73" s="8">
        <v>0.0</v>
      </c>
      <c r="I73" s="7">
        <f t="shared" si="1"/>
        <v>599896.8226</v>
      </c>
      <c r="J73" s="8">
        <f t="shared" si="2"/>
        <v>62030.3174</v>
      </c>
    </row>
    <row r="74">
      <c r="A74" s="2" t="s">
        <v>40</v>
      </c>
      <c r="B74" s="2" t="s">
        <v>15</v>
      </c>
      <c r="C74" s="2" t="s">
        <v>16</v>
      </c>
      <c r="D74" s="4">
        <v>53762.92</v>
      </c>
      <c r="E74" s="4">
        <v>6821.0</v>
      </c>
      <c r="F74" s="4">
        <v>630829.94</v>
      </c>
      <c r="G74" s="4">
        <v>94.6</v>
      </c>
      <c r="H74" s="8">
        <v>0.0</v>
      </c>
      <c r="I74" s="7">
        <f t="shared" si="1"/>
        <v>704948.7991</v>
      </c>
      <c r="J74" s="8">
        <f t="shared" si="2"/>
        <v>-74118.85909</v>
      </c>
    </row>
    <row r="75">
      <c r="A75" s="2" t="s">
        <v>40</v>
      </c>
      <c r="B75" s="2" t="s">
        <v>15</v>
      </c>
      <c r="C75" s="2" t="s">
        <v>16</v>
      </c>
      <c r="D75" s="4">
        <v>58749.63</v>
      </c>
      <c r="E75" s="4">
        <v>8252.0</v>
      </c>
      <c r="F75" s="4">
        <v>680840.36</v>
      </c>
      <c r="G75" s="4">
        <v>85.2</v>
      </c>
      <c r="H75" s="8">
        <v>0.0</v>
      </c>
      <c r="I75" s="7">
        <f t="shared" si="1"/>
        <v>731495.7358</v>
      </c>
      <c r="J75" s="8">
        <f t="shared" si="2"/>
        <v>-50655.37584</v>
      </c>
    </row>
    <row r="76">
      <c r="A76" s="2" t="s">
        <v>40</v>
      </c>
      <c r="B76" s="2" t="s">
        <v>15</v>
      </c>
      <c r="C76" s="2" t="s">
        <v>16</v>
      </c>
      <c r="D76" s="4">
        <v>46201.46</v>
      </c>
      <c r="E76" s="4">
        <v>5918.0</v>
      </c>
      <c r="F76" s="4">
        <v>616069.41</v>
      </c>
      <c r="G76" s="4">
        <v>78.8</v>
      </c>
      <c r="H76" s="8">
        <v>0.0</v>
      </c>
      <c r="I76" s="7">
        <f t="shared" si="1"/>
        <v>619448.1945</v>
      </c>
      <c r="J76" s="8">
        <f t="shared" si="2"/>
        <v>-3378.784508</v>
      </c>
    </row>
    <row r="77">
      <c r="A77" s="2" t="s">
        <v>40</v>
      </c>
      <c r="B77" s="2" t="s">
        <v>15</v>
      </c>
      <c r="C77" s="2" t="s">
        <v>16</v>
      </c>
      <c r="D77" s="4">
        <v>70144.78</v>
      </c>
      <c r="E77" s="4">
        <v>6806.0</v>
      </c>
      <c r="F77" s="4">
        <v>788087.68</v>
      </c>
      <c r="G77" s="4">
        <v>93.1</v>
      </c>
      <c r="H77" s="8">
        <v>0.0</v>
      </c>
      <c r="I77" s="7">
        <f t="shared" si="1"/>
        <v>719333.5905</v>
      </c>
      <c r="J77" s="8">
        <f t="shared" si="2"/>
        <v>68754.08949</v>
      </c>
    </row>
    <row r="78">
      <c r="A78" s="2" t="s">
        <v>41</v>
      </c>
      <c r="B78" s="2" t="s">
        <v>24</v>
      </c>
      <c r="C78" s="2" t="s">
        <v>18</v>
      </c>
      <c r="D78" s="4">
        <v>77999.9</v>
      </c>
      <c r="E78" s="4">
        <v>5974.0</v>
      </c>
      <c r="F78" s="4">
        <v>636561.34</v>
      </c>
      <c r="G78" s="4">
        <v>81.3</v>
      </c>
      <c r="H78" s="8">
        <v>0.0</v>
      </c>
      <c r="I78" s="7">
        <f t="shared" si="1"/>
        <v>666061.5003</v>
      </c>
      <c r="J78" s="8">
        <f t="shared" si="2"/>
        <v>-29500.1603</v>
      </c>
    </row>
    <row r="79">
      <c r="A79" s="2" t="s">
        <v>41</v>
      </c>
      <c r="B79" s="2" t="s">
        <v>24</v>
      </c>
      <c r="C79" s="2" t="s">
        <v>18</v>
      </c>
      <c r="D79" s="4">
        <v>56973.18</v>
      </c>
      <c r="E79" s="4">
        <v>6662.0</v>
      </c>
      <c r="F79" s="4">
        <v>643657.47</v>
      </c>
      <c r="G79" s="4">
        <v>77.7</v>
      </c>
      <c r="H79" s="8">
        <v>0.0</v>
      </c>
      <c r="I79" s="7">
        <f t="shared" si="1"/>
        <v>653950.2783</v>
      </c>
      <c r="J79" s="8">
        <f t="shared" si="2"/>
        <v>-10292.80827</v>
      </c>
    </row>
    <row r="80">
      <c r="A80" s="2" t="s">
        <v>41</v>
      </c>
      <c r="B80" s="2" t="s">
        <v>24</v>
      </c>
      <c r="C80" s="2" t="s">
        <v>18</v>
      </c>
      <c r="D80" s="4">
        <v>54872.82</v>
      </c>
      <c r="E80" s="4">
        <v>5962.0</v>
      </c>
      <c r="F80" s="4">
        <v>691112.6</v>
      </c>
      <c r="G80" s="4">
        <v>85.4</v>
      </c>
      <c r="H80" s="8">
        <v>0.0</v>
      </c>
      <c r="I80" s="7">
        <f t="shared" si="1"/>
        <v>650434.4632</v>
      </c>
      <c r="J80" s="8">
        <f t="shared" si="2"/>
        <v>40678.13678</v>
      </c>
    </row>
    <row r="81">
      <c r="A81" s="2" t="s">
        <v>41</v>
      </c>
      <c r="B81" s="2" t="s">
        <v>24</v>
      </c>
      <c r="C81" s="2" t="s">
        <v>18</v>
      </c>
      <c r="D81" s="4">
        <v>80562.81</v>
      </c>
      <c r="E81" s="4">
        <v>7470.0</v>
      </c>
      <c r="F81" s="4">
        <v>776922.17</v>
      </c>
      <c r="G81" s="4">
        <v>83.5</v>
      </c>
      <c r="H81" s="8">
        <v>0.0</v>
      </c>
      <c r="I81" s="7">
        <f t="shared" si="1"/>
        <v>725868.426</v>
      </c>
      <c r="J81" s="8">
        <f t="shared" si="2"/>
        <v>51053.74401</v>
      </c>
    </row>
    <row r="82">
      <c r="A82" s="2" t="s">
        <v>42</v>
      </c>
      <c r="B82" s="2" t="s">
        <v>27</v>
      </c>
      <c r="C82" s="2" t="s">
        <v>28</v>
      </c>
      <c r="D82" s="4">
        <v>60881.01</v>
      </c>
      <c r="E82" s="4">
        <v>5410.0</v>
      </c>
      <c r="F82" s="4">
        <v>621369.58</v>
      </c>
      <c r="G82" s="4">
        <v>83.9</v>
      </c>
      <c r="H82" s="8">
        <v>0.0</v>
      </c>
      <c r="I82" s="7">
        <f t="shared" si="1"/>
        <v>634536.5024</v>
      </c>
      <c r="J82" s="8">
        <f t="shared" si="2"/>
        <v>-13166.92236</v>
      </c>
    </row>
    <row r="83">
      <c r="A83" s="2" t="s">
        <v>42</v>
      </c>
      <c r="B83" s="2" t="s">
        <v>27</v>
      </c>
      <c r="C83" s="2" t="s">
        <v>28</v>
      </c>
      <c r="D83" s="4">
        <v>36475.71</v>
      </c>
      <c r="E83" s="4">
        <v>3559.0</v>
      </c>
      <c r="F83" s="4">
        <v>569100.78</v>
      </c>
      <c r="G83" s="4">
        <v>83.6</v>
      </c>
      <c r="H83" s="8">
        <v>0.0</v>
      </c>
      <c r="I83" s="7">
        <f t="shared" si="1"/>
        <v>542634.5288</v>
      </c>
      <c r="J83" s="8">
        <f t="shared" si="2"/>
        <v>26466.25125</v>
      </c>
    </row>
    <row r="84">
      <c r="A84" s="2" t="s">
        <v>42</v>
      </c>
      <c r="B84" s="2" t="s">
        <v>27</v>
      </c>
      <c r="C84" s="2" t="s">
        <v>28</v>
      </c>
      <c r="D84" s="4">
        <v>60628.38</v>
      </c>
      <c r="E84" s="4">
        <v>4451.0</v>
      </c>
      <c r="F84" s="4">
        <v>682208.01</v>
      </c>
      <c r="G84" s="4">
        <v>89.6</v>
      </c>
      <c r="H84" s="8">
        <v>0.0</v>
      </c>
      <c r="I84" s="7">
        <f t="shared" si="1"/>
        <v>618627.6486</v>
      </c>
      <c r="J84" s="8">
        <f t="shared" si="2"/>
        <v>63580.36137</v>
      </c>
    </row>
    <row r="85">
      <c r="A85" s="2" t="s">
        <v>42</v>
      </c>
      <c r="B85" s="2" t="s">
        <v>27</v>
      </c>
      <c r="C85" s="2" t="s">
        <v>28</v>
      </c>
      <c r="D85" s="4">
        <v>72731.14</v>
      </c>
      <c r="E85" s="4">
        <v>4644.0</v>
      </c>
      <c r="F85" s="4">
        <v>727241.86</v>
      </c>
      <c r="G85" s="4">
        <v>87.1</v>
      </c>
      <c r="H85" s="8">
        <v>0.0</v>
      </c>
      <c r="I85" s="7">
        <f t="shared" si="1"/>
        <v>632054.305</v>
      </c>
      <c r="J85" s="8">
        <f t="shared" si="2"/>
        <v>95187.555</v>
      </c>
    </row>
    <row r="86">
      <c r="A86" s="2" t="s">
        <v>43</v>
      </c>
      <c r="B86" s="2" t="s">
        <v>27</v>
      </c>
      <c r="C86" s="2" t="s">
        <v>18</v>
      </c>
      <c r="D86" s="4">
        <v>88443.77</v>
      </c>
      <c r="E86" s="4">
        <v>4004.0</v>
      </c>
      <c r="F86" s="4">
        <v>611766.72</v>
      </c>
      <c r="G86" s="4">
        <v>91.9</v>
      </c>
      <c r="H86" s="8">
        <v>0.0</v>
      </c>
      <c r="I86" s="7">
        <f t="shared" si="1"/>
        <v>643037.5956</v>
      </c>
      <c r="J86" s="8">
        <f t="shared" si="2"/>
        <v>-31270.87559</v>
      </c>
    </row>
    <row r="87">
      <c r="A87" s="2" t="s">
        <v>43</v>
      </c>
      <c r="B87" s="2" t="s">
        <v>27</v>
      </c>
      <c r="C87" s="2" t="s">
        <v>18</v>
      </c>
      <c r="D87" s="4">
        <v>18996.32</v>
      </c>
      <c r="E87" s="4">
        <v>1260.0</v>
      </c>
      <c r="F87" s="4">
        <v>450711.92</v>
      </c>
      <c r="G87" s="4">
        <v>86.4</v>
      </c>
      <c r="H87" s="8">
        <v>0.0</v>
      </c>
      <c r="I87" s="7">
        <f t="shared" si="1"/>
        <v>452867.8957</v>
      </c>
      <c r="J87" s="8">
        <f t="shared" si="2"/>
        <v>-2155.975712</v>
      </c>
    </row>
    <row r="88">
      <c r="A88" s="2" t="s">
        <v>43</v>
      </c>
      <c r="B88" s="2" t="s">
        <v>27</v>
      </c>
      <c r="C88" s="2" t="s">
        <v>18</v>
      </c>
      <c r="D88" s="4">
        <v>78231.91</v>
      </c>
      <c r="E88" s="4">
        <v>3788.0</v>
      </c>
      <c r="F88" s="4">
        <v>614596.32</v>
      </c>
      <c r="G88" s="4">
        <v>88.5</v>
      </c>
      <c r="H88" s="8">
        <v>0.0</v>
      </c>
      <c r="I88" s="7">
        <f t="shared" si="1"/>
        <v>613807.2536</v>
      </c>
      <c r="J88" s="8">
        <f t="shared" si="2"/>
        <v>789.0663779</v>
      </c>
    </row>
    <row r="89">
      <c r="A89" s="2" t="s">
        <v>43</v>
      </c>
      <c r="B89" s="2" t="s">
        <v>27</v>
      </c>
      <c r="C89" s="2" t="s">
        <v>18</v>
      </c>
      <c r="D89" s="4">
        <v>55388.11</v>
      </c>
      <c r="E89" s="4">
        <v>3091.0</v>
      </c>
      <c r="F89" s="4">
        <v>574436.29</v>
      </c>
      <c r="G89" s="4">
        <v>85.4</v>
      </c>
      <c r="H89" s="8">
        <v>0.0</v>
      </c>
      <c r="I89" s="7">
        <f t="shared" si="1"/>
        <v>554399.2444</v>
      </c>
      <c r="J89" s="8">
        <f t="shared" si="2"/>
        <v>20037.0456</v>
      </c>
    </row>
    <row r="90">
      <c r="A90" s="2" t="s">
        <v>44</v>
      </c>
      <c r="B90" s="2" t="s">
        <v>24</v>
      </c>
      <c r="C90" s="2" t="s">
        <v>28</v>
      </c>
      <c r="D90" s="4">
        <v>141540.29</v>
      </c>
      <c r="E90" s="4">
        <v>5400.0</v>
      </c>
      <c r="F90" s="4">
        <v>627171.9</v>
      </c>
      <c r="G90" s="4">
        <v>87.0</v>
      </c>
      <c r="H90" s="8">
        <v>0.0</v>
      </c>
      <c r="I90" s="7">
        <f t="shared" si="1"/>
        <v>738177.1395</v>
      </c>
      <c r="J90" s="8">
        <f t="shared" si="2"/>
        <v>-111005.2395</v>
      </c>
    </row>
    <row r="91">
      <c r="A91" s="2" t="s">
        <v>44</v>
      </c>
      <c r="B91" s="2" t="s">
        <v>24</v>
      </c>
      <c r="C91" s="2" t="s">
        <v>28</v>
      </c>
      <c r="D91" s="4">
        <v>82116.19</v>
      </c>
      <c r="E91" s="4">
        <v>5988.0</v>
      </c>
      <c r="F91" s="4">
        <v>739852.58</v>
      </c>
      <c r="G91" s="4">
        <v>91.8</v>
      </c>
      <c r="H91" s="8">
        <v>0.0</v>
      </c>
      <c r="I91" s="7">
        <f t="shared" si="1"/>
        <v>702083.5132</v>
      </c>
      <c r="J91" s="8">
        <f t="shared" si="2"/>
        <v>37769.06675</v>
      </c>
    </row>
    <row r="92">
      <c r="A92" s="2" t="s">
        <v>44</v>
      </c>
      <c r="B92" s="2" t="s">
        <v>24</v>
      </c>
      <c r="C92" s="2" t="s">
        <v>28</v>
      </c>
      <c r="D92" s="4">
        <v>31207.51</v>
      </c>
      <c r="E92" s="4">
        <v>3701.0</v>
      </c>
      <c r="F92" s="4">
        <v>586307.22</v>
      </c>
      <c r="G92" s="4">
        <v>84.7</v>
      </c>
      <c r="H92" s="8">
        <v>0.0</v>
      </c>
      <c r="I92" s="7">
        <f t="shared" si="1"/>
        <v>544432.3079</v>
      </c>
      <c r="J92" s="8">
        <f t="shared" si="2"/>
        <v>41874.91205</v>
      </c>
    </row>
    <row r="93">
      <c r="A93" s="2" t="s">
        <v>44</v>
      </c>
      <c r="B93" s="2" t="s">
        <v>24</v>
      </c>
      <c r="C93" s="2" t="s">
        <v>28</v>
      </c>
      <c r="D93" s="4">
        <v>50517.94</v>
      </c>
      <c r="E93" s="4">
        <v>7024.0</v>
      </c>
      <c r="F93" s="4">
        <v>711213.46</v>
      </c>
      <c r="G93" s="4">
        <v>79.2</v>
      </c>
      <c r="H93" s="8">
        <v>0.0</v>
      </c>
      <c r="I93" s="7">
        <f t="shared" si="1"/>
        <v>662926.5531</v>
      </c>
      <c r="J93" s="8">
        <f t="shared" si="2"/>
        <v>48286.90687</v>
      </c>
    </row>
    <row r="94">
      <c r="A94" s="2" t="s">
        <v>45</v>
      </c>
      <c r="B94" s="2" t="s">
        <v>27</v>
      </c>
      <c r="C94" s="2" t="s">
        <v>16</v>
      </c>
      <c r="D94" s="4">
        <v>9534.65</v>
      </c>
      <c r="E94" s="4">
        <v>6057.0</v>
      </c>
      <c r="F94" s="4">
        <v>607898.12</v>
      </c>
      <c r="G94" s="4">
        <v>94.1</v>
      </c>
      <c r="H94" s="8">
        <v>0.0</v>
      </c>
      <c r="I94" s="7">
        <f t="shared" si="1"/>
        <v>625726.1674</v>
      </c>
      <c r="J94" s="8">
        <f t="shared" si="2"/>
        <v>-17828.04744</v>
      </c>
    </row>
    <row r="95">
      <c r="A95" s="2" t="s">
        <v>45</v>
      </c>
      <c r="B95" s="2" t="s">
        <v>27</v>
      </c>
      <c r="C95" s="2" t="s">
        <v>16</v>
      </c>
      <c r="D95" s="4">
        <v>38966.59</v>
      </c>
      <c r="E95" s="4">
        <v>4509.0</v>
      </c>
      <c r="F95" s="4">
        <v>585937.48</v>
      </c>
      <c r="G95" s="4">
        <v>91.1</v>
      </c>
      <c r="H95" s="8">
        <v>0.0</v>
      </c>
      <c r="I95" s="7">
        <f t="shared" si="1"/>
        <v>599477.4279</v>
      </c>
      <c r="J95" s="8">
        <f t="shared" si="2"/>
        <v>-13539.94789</v>
      </c>
    </row>
    <row r="96">
      <c r="A96" s="2" t="s">
        <v>45</v>
      </c>
      <c r="B96" s="2" t="s">
        <v>27</v>
      </c>
      <c r="C96" s="2" t="s">
        <v>16</v>
      </c>
      <c r="D96" s="4">
        <v>67439.3</v>
      </c>
      <c r="E96" s="4">
        <v>6477.0</v>
      </c>
      <c r="F96" s="4">
        <v>753473.55</v>
      </c>
      <c r="G96" s="4">
        <v>90.9</v>
      </c>
      <c r="H96" s="8">
        <v>0.0</v>
      </c>
      <c r="I96" s="7">
        <f t="shared" si="1"/>
        <v>698641.6265</v>
      </c>
      <c r="J96" s="8">
        <f t="shared" si="2"/>
        <v>54831.92346</v>
      </c>
    </row>
    <row r="97">
      <c r="A97" s="2" t="s">
        <v>45</v>
      </c>
      <c r="B97" s="2" t="s">
        <v>27</v>
      </c>
      <c r="C97" s="2" t="s">
        <v>16</v>
      </c>
      <c r="D97" s="4">
        <v>86421.88</v>
      </c>
      <c r="E97" s="4">
        <v>7970.0</v>
      </c>
      <c r="F97" s="4">
        <v>838250.32</v>
      </c>
      <c r="G97" s="4">
        <v>91.3</v>
      </c>
      <c r="H97" s="8">
        <v>0.0</v>
      </c>
      <c r="I97" s="7">
        <f t="shared" si="1"/>
        <v>772404.4231</v>
      </c>
      <c r="J97" s="8">
        <f t="shared" si="2"/>
        <v>65845.8969</v>
      </c>
    </row>
    <row r="98">
      <c r="A98" s="2" t="s">
        <v>46</v>
      </c>
      <c r="B98" s="2" t="s">
        <v>27</v>
      </c>
      <c r="C98" s="2" t="s">
        <v>28</v>
      </c>
      <c r="D98" s="4">
        <v>61132.07</v>
      </c>
      <c r="E98" s="4">
        <v>6394.0</v>
      </c>
      <c r="F98" s="4">
        <v>691113.62</v>
      </c>
      <c r="G98" s="4">
        <v>91.0</v>
      </c>
      <c r="H98" s="8">
        <v>0.0</v>
      </c>
      <c r="I98" s="7">
        <f t="shared" si="1"/>
        <v>688718.5056</v>
      </c>
      <c r="J98" s="8">
        <f t="shared" si="2"/>
        <v>2395.114398</v>
      </c>
    </row>
    <row r="99">
      <c r="A99" s="2" t="s">
        <v>46</v>
      </c>
      <c r="B99" s="2" t="s">
        <v>27</v>
      </c>
      <c r="C99" s="2" t="s">
        <v>28</v>
      </c>
      <c r="D99" s="4">
        <v>38752.8</v>
      </c>
      <c r="E99" s="4">
        <v>4712.0</v>
      </c>
      <c r="F99" s="4">
        <v>605775.33</v>
      </c>
      <c r="G99" s="4">
        <v>89.7</v>
      </c>
      <c r="H99" s="8">
        <v>0.0</v>
      </c>
      <c r="I99" s="7">
        <f t="shared" si="1"/>
        <v>601964.8186</v>
      </c>
      <c r="J99" s="8">
        <f t="shared" si="2"/>
        <v>3810.511377</v>
      </c>
    </row>
    <row r="100">
      <c r="A100" s="2" t="s">
        <v>46</v>
      </c>
      <c r="B100" s="2" t="s">
        <v>27</v>
      </c>
      <c r="C100" s="2" t="s">
        <v>28</v>
      </c>
      <c r="D100" s="4">
        <v>55101.1</v>
      </c>
      <c r="E100" s="4">
        <v>5281.0</v>
      </c>
      <c r="F100" s="4">
        <v>675177.68</v>
      </c>
      <c r="G100" s="4">
        <v>91.0</v>
      </c>
      <c r="H100" s="8">
        <v>0.0</v>
      </c>
      <c r="I100" s="7">
        <f t="shared" si="1"/>
        <v>644156.8828</v>
      </c>
      <c r="J100" s="8">
        <f t="shared" si="2"/>
        <v>31020.79725</v>
      </c>
    </row>
    <row r="101">
      <c r="A101" s="2" t="s">
        <v>46</v>
      </c>
      <c r="B101" s="2" t="s">
        <v>27</v>
      </c>
      <c r="C101" s="2" t="s">
        <v>28</v>
      </c>
      <c r="D101" s="4">
        <v>78839.39</v>
      </c>
      <c r="E101" s="4">
        <v>5150.0</v>
      </c>
      <c r="F101" s="4">
        <v>735509.4</v>
      </c>
      <c r="G101" s="4">
        <v>85.8</v>
      </c>
      <c r="H101" s="8">
        <v>0.0</v>
      </c>
      <c r="I101" s="7">
        <f t="shared" si="1"/>
        <v>652472.6247</v>
      </c>
      <c r="J101" s="8">
        <f t="shared" si="2"/>
        <v>83036.77525</v>
      </c>
    </row>
    <row r="102">
      <c r="A102" s="2" t="s">
        <v>47</v>
      </c>
      <c r="B102" s="2" t="s">
        <v>15</v>
      </c>
      <c r="C102" s="2" t="s">
        <v>28</v>
      </c>
      <c r="D102" s="4">
        <v>63101.59</v>
      </c>
      <c r="E102" s="4">
        <v>4373.0</v>
      </c>
      <c r="F102" s="4">
        <v>586626.94</v>
      </c>
      <c r="G102" s="4">
        <v>90.4</v>
      </c>
      <c r="H102" s="8">
        <v>0.0</v>
      </c>
      <c r="I102" s="7">
        <f t="shared" si="1"/>
        <v>621251.8724</v>
      </c>
      <c r="J102" s="8">
        <f t="shared" si="2"/>
        <v>-34624.93237</v>
      </c>
    </row>
    <row r="103">
      <c r="A103" s="2" t="s">
        <v>47</v>
      </c>
      <c r="B103" s="2" t="s">
        <v>15</v>
      </c>
      <c r="C103" s="2" t="s">
        <v>28</v>
      </c>
      <c r="D103" s="4">
        <v>90084.4</v>
      </c>
      <c r="E103" s="4">
        <v>6832.0</v>
      </c>
      <c r="F103" s="4">
        <v>740102.64</v>
      </c>
      <c r="G103" s="4">
        <v>80.5</v>
      </c>
      <c r="H103" s="8">
        <v>0.0</v>
      </c>
      <c r="I103" s="7">
        <f t="shared" si="1"/>
        <v>706823.0588</v>
      </c>
      <c r="J103" s="8">
        <f t="shared" si="2"/>
        <v>33279.58124</v>
      </c>
    </row>
    <row r="104">
      <c r="A104" s="2" t="s">
        <v>47</v>
      </c>
      <c r="B104" s="2" t="s">
        <v>15</v>
      </c>
      <c r="C104" s="2" t="s">
        <v>28</v>
      </c>
      <c r="D104" s="4">
        <v>53084.76</v>
      </c>
      <c r="E104" s="4">
        <v>3642.0</v>
      </c>
      <c r="F104" s="4">
        <v>635181.35</v>
      </c>
      <c r="G104" s="4">
        <v>91.4</v>
      </c>
      <c r="H104" s="8">
        <v>0.0</v>
      </c>
      <c r="I104" s="7">
        <f t="shared" si="1"/>
        <v>587783.2113</v>
      </c>
      <c r="J104" s="8">
        <f t="shared" si="2"/>
        <v>47398.13867</v>
      </c>
    </row>
    <row r="105">
      <c r="A105" s="2" t="s">
        <v>47</v>
      </c>
      <c r="B105" s="2" t="s">
        <v>15</v>
      </c>
      <c r="C105" s="2" t="s">
        <v>28</v>
      </c>
      <c r="D105" s="4">
        <v>32266.64</v>
      </c>
      <c r="E105" s="4">
        <v>2414.0</v>
      </c>
      <c r="F105" s="4">
        <v>625514.04</v>
      </c>
      <c r="G105" s="4">
        <v>92.1</v>
      </c>
      <c r="H105" s="8">
        <v>0.0</v>
      </c>
      <c r="I105" s="7">
        <f t="shared" si="1"/>
        <v>523997.7246</v>
      </c>
      <c r="J105" s="8">
        <f t="shared" si="2"/>
        <v>101516.3154</v>
      </c>
    </row>
    <row r="106">
      <c r="A106" s="2" t="s">
        <v>48</v>
      </c>
      <c r="B106" s="2" t="s">
        <v>27</v>
      </c>
      <c r="C106" s="2" t="s">
        <v>18</v>
      </c>
      <c r="D106" s="4">
        <v>74679.35</v>
      </c>
      <c r="E106" s="4">
        <v>8739.0</v>
      </c>
      <c r="F106" s="4">
        <v>783797.89</v>
      </c>
      <c r="G106" s="4">
        <v>91.8</v>
      </c>
      <c r="H106" s="8">
        <v>0.0</v>
      </c>
      <c r="I106" s="7">
        <f t="shared" si="1"/>
        <v>785934.8276</v>
      </c>
      <c r="J106" s="8">
        <f t="shared" si="2"/>
        <v>-2136.93755</v>
      </c>
    </row>
    <row r="107">
      <c r="A107" s="2" t="s">
        <v>48</v>
      </c>
      <c r="B107" s="2" t="s">
        <v>27</v>
      </c>
      <c r="C107" s="2" t="s">
        <v>18</v>
      </c>
      <c r="D107" s="4">
        <v>31042.03</v>
      </c>
      <c r="E107" s="4">
        <v>7107.0</v>
      </c>
      <c r="F107" s="4">
        <v>665594.94</v>
      </c>
      <c r="G107" s="4">
        <v>87.0</v>
      </c>
      <c r="H107" s="8">
        <v>0.0</v>
      </c>
      <c r="I107" s="7">
        <f t="shared" si="1"/>
        <v>665614.261</v>
      </c>
      <c r="J107" s="8">
        <f t="shared" si="2"/>
        <v>-19.3210194</v>
      </c>
    </row>
    <row r="108">
      <c r="A108" s="2" t="s">
        <v>48</v>
      </c>
      <c r="B108" s="2" t="s">
        <v>27</v>
      </c>
      <c r="C108" s="2" t="s">
        <v>18</v>
      </c>
      <c r="D108" s="4">
        <v>57919.07</v>
      </c>
      <c r="E108" s="4">
        <v>7374.0</v>
      </c>
      <c r="F108" s="4">
        <v>727227.2</v>
      </c>
      <c r="G108" s="4">
        <v>82.3</v>
      </c>
      <c r="H108" s="8">
        <v>0.0</v>
      </c>
      <c r="I108" s="7">
        <f t="shared" si="1"/>
        <v>692482.7903</v>
      </c>
      <c r="J108" s="8">
        <f t="shared" si="2"/>
        <v>34744.40974</v>
      </c>
    </row>
    <row r="109">
      <c r="A109" s="2" t="s">
        <v>48</v>
      </c>
      <c r="B109" s="2" t="s">
        <v>27</v>
      </c>
      <c r="C109" s="2" t="s">
        <v>18</v>
      </c>
      <c r="D109" s="4">
        <v>64294.23</v>
      </c>
      <c r="E109" s="4">
        <v>6992.0</v>
      </c>
      <c r="F109" s="4">
        <v>795153.84</v>
      </c>
      <c r="G109" s="4">
        <v>94.1</v>
      </c>
      <c r="H109" s="8">
        <v>0.0</v>
      </c>
      <c r="I109" s="7">
        <f t="shared" si="1"/>
        <v>721634.7694</v>
      </c>
      <c r="J109" s="8">
        <f t="shared" si="2"/>
        <v>73519.07062</v>
      </c>
    </row>
    <row r="110">
      <c r="A110" s="2" t="s">
        <v>49</v>
      </c>
      <c r="B110" s="2" t="s">
        <v>15</v>
      </c>
      <c r="C110" s="2" t="s">
        <v>28</v>
      </c>
      <c r="D110" s="4">
        <v>51056.15</v>
      </c>
      <c r="E110" s="4">
        <v>5686.0</v>
      </c>
      <c r="F110" s="4">
        <v>633494.21</v>
      </c>
      <c r="G110" s="4">
        <v>89.9</v>
      </c>
      <c r="H110" s="8">
        <v>0.0</v>
      </c>
      <c r="I110" s="7">
        <f t="shared" si="1"/>
        <v>649813.0955</v>
      </c>
      <c r="J110" s="8">
        <f t="shared" si="2"/>
        <v>-16318.8855</v>
      </c>
    </row>
    <row r="111">
      <c r="A111" s="2" t="s">
        <v>49</v>
      </c>
      <c r="B111" s="2" t="s">
        <v>15</v>
      </c>
      <c r="C111" s="2" t="s">
        <v>28</v>
      </c>
      <c r="D111" s="4">
        <v>69411.7</v>
      </c>
      <c r="E111" s="4">
        <v>5493.0</v>
      </c>
      <c r="F111" s="4">
        <v>664162.49</v>
      </c>
      <c r="G111" s="4">
        <v>86.5</v>
      </c>
      <c r="H111" s="8">
        <v>0.0</v>
      </c>
      <c r="I111" s="7">
        <f t="shared" si="1"/>
        <v>654972.078</v>
      </c>
      <c r="J111" s="8">
        <f t="shared" si="2"/>
        <v>9190.41204</v>
      </c>
    </row>
    <row r="112">
      <c r="A112" s="2" t="s">
        <v>49</v>
      </c>
      <c r="B112" s="2" t="s">
        <v>15</v>
      </c>
      <c r="C112" s="2" t="s">
        <v>28</v>
      </c>
      <c r="D112" s="4">
        <v>75265.02</v>
      </c>
      <c r="E112" s="4">
        <v>6975.0</v>
      </c>
      <c r="F112" s="4">
        <v>709478.39</v>
      </c>
      <c r="G112" s="4">
        <v>73.8</v>
      </c>
      <c r="H112" s="8">
        <v>0.0</v>
      </c>
      <c r="I112" s="7">
        <f t="shared" si="1"/>
        <v>674604.6605</v>
      </c>
      <c r="J112" s="8">
        <f t="shared" si="2"/>
        <v>34873.72949</v>
      </c>
    </row>
    <row r="113">
      <c r="A113" s="2" t="s">
        <v>49</v>
      </c>
      <c r="B113" s="2" t="s">
        <v>15</v>
      </c>
      <c r="C113" s="2" t="s">
        <v>28</v>
      </c>
      <c r="D113" s="4">
        <v>52758.01</v>
      </c>
      <c r="E113" s="4">
        <v>4063.0</v>
      </c>
      <c r="F113" s="4">
        <v>713611.16</v>
      </c>
      <c r="G113" s="4">
        <v>91.7</v>
      </c>
      <c r="H113" s="8">
        <v>0.0</v>
      </c>
      <c r="I113" s="7">
        <f t="shared" si="1"/>
        <v>602447.4755</v>
      </c>
      <c r="J113" s="8">
        <f t="shared" si="2"/>
        <v>111163.6845</v>
      </c>
    </row>
    <row r="114">
      <c r="A114" s="2" t="s">
        <v>50</v>
      </c>
      <c r="B114" s="2" t="s">
        <v>27</v>
      </c>
      <c r="C114" s="2" t="s">
        <v>28</v>
      </c>
      <c r="D114" s="4">
        <v>33605.18</v>
      </c>
      <c r="E114" s="4">
        <v>9225.0</v>
      </c>
      <c r="F114" s="4">
        <v>697287.9</v>
      </c>
      <c r="G114" s="4">
        <v>88.4</v>
      </c>
      <c r="H114" s="8">
        <v>0.0</v>
      </c>
      <c r="I114" s="7">
        <f t="shared" si="1"/>
        <v>744019.1987</v>
      </c>
      <c r="J114" s="8">
        <f t="shared" si="2"/>
        <v>-46731.29868</v>
      </c>
    </row>
    <row r="115">
      <c r="A115" s="2" t="s">
        <v>50</v>
      </c>
      <c r="B115" s="2" t="s">
        <v>27</v>
      </c>
      <c r="C115" s="2" t="s">
        <v>28</v>
      </c>
      <c r="D115" s="4">
        <v>25990.54</v>
      </c>
      <c r="E115" s="4">
        <v>9249.0</v>
      </c>
      <c r="F115" s="4">
        <v>718074.79</v>
      </c>
      <c r="G115" s="4">
        <v>92.5</v>
      </c>
      <c r="H115" s="8">
        <v>0.0</v>
      </c>
      <c r="I115" s="7">
        <f t="shared" si="1"/>
        <v>747857.3711</v>
      </c>
      <c r="J115" s="8">
        <f t="shared" si="2"/>
        <v>-29782.5811</v>
      </c>
    </row>
    <row r="116">
      <c r="A116" s="2" t="s">
        <v>50</v>
      </c>
      <c r="B116" s="2" t="s">
        <v>27</v>
      </c>
      <c r="C116" s="2" t="s">
        <v>28</v>
      </c>
      <c r="D116" s="4">
        <v>61426.04</v>
      </c>
      <c r="E116" s="4">
        <v>8966.0</v>
      </c>
      <c r="F116" s="4">
        <v>778397.97</v>
      </c>
      <c r="G116" s="4">
        <v>76.4</v>
      </c>
      <c r="H116" s="8">
        <v>0.0</v>
      </c>
      <c r="I116" s="7">
        <f t="shared" si="1"/>
        <v>732943.7054</v>
      </c>
      <c r="J116" s="8">
        <f t="shared" si="2"/>
        <v>45454.26457</v>
      </c>
    </row>
    <row r="117">
      <c r="A117" s="2" t="s">
        <v>50</v>
      </c>
      <c r="B117" s="2" t="s">
        <v>27</v>
      </c>
      <c r="C117" s="2" t="s">
        <v>28</v>
      </c>
      <c r="D117" s="4">
        <v>80176.34</v>
      </c>
      <c r="E117" s="4">
        <v>9489.0</v>
      </c>
      <c r="F117" s="4">
        <v>873380.02</v>
      </c>
      <c r="G117" s="4">
        <v>94.3</v>
      </c>
      <c r="H117" s="8">
        <v>0.0</v>
      </c>
      <c r="I117" s="7">
        <f t="shared" si="1"/>
        <v>824960.2951</v>
      </c>
      <c r="J117" s="8">
        <f t="shared" si="2"/>
        <v>48419.72489</v>
      </c>
    </row>
    <row r="118">
      <c r="A118" s="2" t="s">
        <v>51</v>
      </c>
      <c r="B118" s="2" t="s">
        <v>27</v>
      </c>
      <c r="C118" s="2" t="s">
        <v>16</v>
      </c>
      <c r="D118" s="4">
        <v>42415.47</v>
      </c>
      <c r="E118" s="4">
        <v>8512.0</v>
      </c>
      <c r="F118" s="4">
        <v>684217.32</v>
      </c>
      <c r="G118" s="4">
        <v>96.8</v>
      </c>
      <c r="H118" s="8">
        <v>0.0</v>
      </c>
      <c r="I118" s="7">
        <f t="shared" si="1"/>
        <v>754951.4315</v>
      </c>
      <c r="J118" s="8">
        <f t="shared" si="2"/>
        <v>-70734.11155</v>
      </c>
    </row>
    <row r="119">
      <c r="A119" s="2" t="s">
        <v>51</v>
      </c>
      <c r="B119" s="2" t="s">
        <v>27</v>
      </c>
      <c r="C119" s="2" t="s">
        <v>16</v>
      </c>
      <c r="D119" s="4">
        <v>54968.98</v>
      </c>
      <c r="E119" s="4">
        <v>7816.0</v>
      </c>
      <c r="F119" s="4">
        <v>735480.19</v>
      </c>
      <c r="G119" s="4">
        <v>95.7</v>
      </c>
      <c r="H119" s="8">
        <v>0.0</v>
      </c>
      <c r="I119" s="7">
        <f t="shared" si="1"/>
        <v>743077.8832</v>
      </c>
      <c r="J119" s="8">
        <f t="shared" si="2"/>
        <v>-7597.693178</v>
      </c>
    </row>
    <row r="120">
      <c r="A120" s="2" t="s">
        <v>51</v>
      </c>
      <c r="B120" s="2" t="s">
        <v>27</v>
      </c>
      <c r="C120" s="2" t="s">
        <v>16</v>
      </c>
      <c r="D120" s="4">
        <v>43685.14</v>
      </c>
      <c r="E120" s="4">
        <v>7821.0</v>
      </c>
      <c r="F120" s="4">
        <v>714942.43</v>
      </c>
      <c r="G120" s="4">
        <v>91.0</v>
      </c>
      <c r="H120" s="8">
        <v>0.0</v>
      </c>
      <c r="I120" s="7">
        <f t="shared" si="1"/>
        <v>716223.4566</v>
      </c>
      <c r="J120" s="8">
        <f t="shared" si="2"/>
        <v>-1281.0266</v>
      </c>
    </row>
    <row r="121">
      <c r="A121" s="2" t="s">
        <v>51</v>
      </c>
      <c r="B121" s="2" t="s">
        <v>27</v>
      </c>
      <c r="C121" s="2" t="s">
        <v>16</v>
      </c>
      <c r="D121" s="4">
        <v>57360.01</v>
      </c>
      <c r="E121" s="4">
        <v>8434.0</v>
      </c>
      <c r="F121" s="4">
        <v>820519.04</v>
      </c>
      <c r="G121" s="4">
        <v>84.1</v>
      </c>
      <c r="H121" s="8">
        <v>0.0</v>
      </c>
      <c r="I121" s="7">
        <f t="shared" si="1"/>
        <v>732769.9936</v>
      </c>
      <c r="J121" s="8">
        <f t="shared" si="2"/>
        <v>87749.04636</v>
      </c>
    </row>
    <row r="122">
      <c r="A122" s="2" t="s">
        <v>52</v>
      </c>
      <c r="B122" s="2" t="s">
        <v>20</v>
      </c>
      <c r="C122" s="2" t="s">
        <v>18</v>
      </c>
      <c r="D122" s="4">
        <v>19063.48</v>
      </c>
      <c r="E122" s="4">
        <v>1906.0</v>
      </c>
      <c r="F122" s="4">
        <v>441275.42</v>
      </c>
      <c r="G122" s="4">
        <v>97.8</v>
      </c>
      <c r="H122" s="8">
        <v>1.0</v>
      </c>
      <c r="I122" s="7">
        <f t="shared" si="1"/>
        <v>507003.6067</v>
      </c>
      <c r="J122" s="8">
        <f t="shared" si="2"/>
        <v>-65728.18671</v>
      </c>
    </row>
    <row r="123">
      <c r="A123" s="2" t="s">
        <v>52</v>
      </c>
      <c r="B123" s="2" t="s">
        <v>20</v>
      </c>
      <c r="C123" s="2" t="s">
        <v>18</v>
      </c>
      <c r="D123" s="4">
        <v>43896.13</v>
      </c>
      <c r="E123" s="4">
        <v>3853.0</v>
      </c>
      <c r="F123" s="4">
        <v>509484.81</v>
      </c>
      <c r="G123" s="4">
        <v>83.0</v>
      </c>
      <c r="H123" s="8">
        <v>1.0</v>
      </c>
      <c r="I123" s="7">
        <f t="shared" si="1"/>
        <v>558480.134</v>
      </c>
      <c r="J123" s="8">
        <f t="shared" si="2"/>
        <v>-48995.32396</v>
      </c>
    </row>
    <row r="124">
      <c r="A124" s="2" t="s">
        <v>52</v>
      </c>
      <c r="B124" s="2" t="s">
        <v>20</v>
      </c>
      <c r="C124" s="2" t="s">
        <v>18</v>
      </c>
      <c r="D124" s="4">
        <v>48396.13</v>
      </c>
      <c r="E124" s="4">
        <v>4423.0</v>
      </c>
      <c r="F124" s="4">
        <v>557487.26</v>
      </c>
      <c r="G124" s="4">
        <v>85.7</v>
      </c>
      <c r="H124" s="8">
        <v>1.0</v>
      </c>
      <c r="I124" s="7">
        <f t="shared" si="1"/>
        <v>590858.3149</v>
      </c>
      <c r="J124" s="8">
        <f t="shared" si="2"/>
        <v>-33371.0549</v>
      </c>
    </row>
    <row r="125">
      <c r="A125" s="2" t="s">
        <v>52</v>
      </c>
      <c r="B125" s="2" t="s">
        <v>20</v>
      </c>
      <c r="C125" s="2" t="s">
        <v>18</v>
      </c>
      <c r="D125" s="4">
        <v>83044.17</v>
      </c>
      <c r="E125" s="4">
        <v>3694.0</v>
      </c>
      <c r="F125" s="4">
        <v>654317.09</v>
      </c>
      <c r="G125" s="4">
        <v>89.4</v>
      </c>
      <c r="H125" s="8">
        <v>1.0</v>
      </c>
      <c r="I125" s="7">
        <f t="shared" si="1"/>
        <v>617910.0057</v>
      </c>
      <c r="J125" s="8">
        <f t="shared" si="2"/>
        <v>36407.08433</v>
      </c>
    </row>
    <row r="126">
      <c r="A126" s="2" t="s">
        <v>53</v>
      </c>
      <c r="B126" s="2" t="s">
        <v>24</v>
      </c>
      <c r="C126" s="2" t="s">
        <v>18</v>
      </c>
      <c r="D126" s="4">
        <v>44747.0</v>
      </c>
      <c r="E126" s="4">
        <v>11076.0</v>
      </c>
      <c r="F126" s="4">
        <v>842439.67</v>
      </c>
      <c r="G126" s="4">
        <v>98.3</v>
      </c>
      <c r="H126" s="8">
        <v>0.0</v>
      </c>
      <c r="I126" s="7">
        <f t="shared" si="1"/>
        <v>848389.2066</v>
      </c>
      <c r="J126" s="8">
        <f t="shared" si="2"/>
        <v>-5949.536599</v>
      </c>
    </row>
    <row r="127">
      <c r="A127" s="2" t="s">
        <v>53</v>
      </c>
      <c r="B127" s="2" t="s">
        <v>24</v>
      </c>
      <c r="C127" s="2" t="s">
        <v>18</v>
      </c>
      <c r="D127" s="4">
        <v>37828.5</v>
      </c>
      <c r="E127" s="4">
        <v>8221.0</v>
      </c>
      <c r="F127" s="4">
        <v>697155.3</v>
      </c>
      <c r="G127" s="4">
        <v>81.5</v>
      </c>
      <c r="H127" s="8">
        <v>0.0</v>
      </c>
      <c r="I127" s="7">
        <f t="shared" si="1"/>
        <v>695013.846</v>
      </c>
      <c r="J127" s="8">
        <f t="shared" si="2"/>
        <v>2141.454005</v>
      </c>
    </row>
    <row r="128">
      <c r="A128" s="2" t="s">
        <v>53</v>
      </c>
      <c r="B128" s="2" t="s">
        <v>24</v>
      </c>
      <c r="C128" s="2" t="s">
        <v>18</v>
      </c>
      <c r="D128" s="4">
        <v>56517.9</v>
      </c>
      <c r="E128" s="4">
        <v>9574.0</v>
      </c>
      <c r="F128" s="4">
        <v>842157.92</v>
      </c>
      <c r="G128" s="4">
        <v>88.2</v>
      </c>
      <c r="H128" s="8">
        <v>0.0</v>
      </c>
      <c r="I128" s="7">
        <f t="shared" si="1"/>
        <v>782143.3624</v>
      </c>
      <c r="J128" s="8">
        <f t="shared" si="2"/>
        <v>60014.55764</v>
      </c>
    </row>
    <row r="129">
      <c r="A129" s="2" t="s">
        <v>53</v>
      </c>
      <c r="B129" s="2" t="s">
        <v>24</v>
      </c>
      <c r="C129" s="2" t="s">
        <v>18</v>
      </c>
      <c r="D129" s="4">
        <v>61541.21</v>
      </c>
      <c r="E129" s="4">
        <v>10396.0</v>
      </c>
      <c r="F129" s="4">
        <v>914544.17</v>
      </c>
      <c r="G129" s="4">
        <v>88.1</v>
      </c>
      <c r="H129" s="8">
        <v>0.0</v>
      </c>
      <c r="I129" s="7">
        <f t="shared" si="1"/>
        <v>815431.3935</v>
      </c>
      <c r="J129" s="8">
        <f t="shared" si="2"/>
        <v>99112.77654</v>
      </c>
    </row>
    <row r="130">
      <c r="A130" s="2" t="s">
        <v>54</v>
      </c>
      <c r="B130" s="2" t="s">
        <v>15</v>
      </c>
      <c r="C130" s="2" t="s">
        <v>18</v>
      </c>
      <c r="D130" s="4">
        <v>50735.63</v>
      </c>
      <c r="E130" s="4">
        <v>9619.0</v>
      </c>
      <c r="F130" s="4">
        <v>725235.28</v>
      </c>
      <c r="G130" s="4">
        <v>93.8</v>
      </c>
      <c r="H130" s="8">
        <v>0.0</v>
      </c>
      <c r="I130" s="7">
        <f t="shared" si="1"/>
        <v>793231.2957</v>
      </c>
      <c r="J130" s="8">
        <f t="shared" si="2"/>
        <v>-67996.0157</v>
      </c>
    </row>
    <row r="131">
      <c r="A131" s="2" t="s">
        <v>54</v>
      </c>
      <c r="B131" s="2" t="s">
        <v>15</v>
      </c>
      <c r="C131" s="2" t="s">
        <v>18</v>
      </c>
      <c r="D131" s="4">
        <v>66455.8</v>
      </c>
      <c r="E131" s="4">
        <v>10836.0</v>
      </c>
      <c r="F131" s="4">
        <v>811452.72</v>
      </c>
      <c r="G131" s="4">
        <v>85.0</v>
      </c>
      <c r="H131" s="8">
        <v>0.0</v>
      </c>
      <c r="I131" s="7">
        <f t="shared" si="1"/>
        <v>826959.4141</v>
      </c>
      <c r="J131" s="8">
        <f t="shared" si="2"/>
        <v>-15506.69405</v>
      </c>
    </row>
    <row r="132">
      <c r="A132" s="2" t="s">
        <v>54</v>
      </c>
      <c r="B132" s="2" t="s">
        <v>15</v>
      </c>
      <c r="C132" s="2" t="s">
        <v>18</v>
      </c>
      <c r="D132" s="4">
        <v>68410.93</v>
      </c>
      <c r="E132" s="4">
        <v>10596.0</v>
      </c>
      <c r="F132" s="4">
        <v>801830.35</v>
      </c>
      <c r="G132" s="4">
        <v>81.2</v>
      </c>
      <c r="H132" s="8">
        <v>0.0</v>
      </c>
      <c r="I132" s="7">
        <f t="shared" si="1"/>
        <v>810068.2359</v>
      </c>
      <c r="J132" s="8">
        <f t="shared" si="2"/>
        <v>-8237.88586</v>
      </c>
    </row>
    <row r="133">
      <c r="A133" s="2" t="s">
        <v>54</v>
      </c>
      <c r="B133" s="2" t="s">
        <v>15</v>
      </c>
      <c r="C133" s="2" t="s">
        <v>18</v>
      </c>
      <c r="D133" s="4">
        <v>66250.53</v>
      </c>
      <c r="E133" s="4">
        <v>10618.0</v>
      </c>
      <c r="F133" s="4">
        <v>849018.3</v>
      </c>
      <c r="G133" s="4">
        <v>88.3</v>
      </c>
      <c r="H133" s="8">
        <v>0.0</v>
      </c>
      <c r="I133" s="7">
        <f t="shared" si="1"/>
        <v>829030.5283</v>
      </c>
      <c r="J133" s="8">
        <f t="shared" si="2"/>
        <v>19987.77169</v>
      </c>
    </row>
    <row r="134">
      <c r="A134" s="2" t="s">
        <v>55</v>
      </c>
      <c r="B134" s="2" t="s">
        <v>20</v>
      </c>
      <c r="C134" s="2" t="s">
        <v>18</v>
      </c>
      <c r="D134" s="4">
        <v>22071.64</v>
      </c>
      <c r="E134" s="4">
        <v>1814.0</v>
      </c>
      <c r="F134" s="4">
        <v>400831.65</v>
      </c>
      <c r="G134" s="4">
        <v>81.1</v>
      </c>
      <c r="H134" s="8">
        <v>1.0</v>
      </c>
      <c r="I134" s="7">
        <f t="shared" si="1"/>
        <v>458607.4801</v>
      </c>
      <c r="J134" s="8">
        <f t="shared" si="2"/>
        <v>-57775.8301</v>
      </c>
    </row>
    <row r="135">
      <c r="A135" s="2" t="s">
        <v>55</v>
      </c>
      <c r="B135" s="2" t="s">
        <v>20</v>
      </c>
      <c r="C135" s="2" t="s">
        <v>18</v>
      </c>
      <c r="D135" s="4">
        <v>70276.28</v>
      </c>
      <c r="E135" s="4">
        <v>3043.0</v>
      </c>
      <c r="F135" s="4">
        <v>527300.13</v>
      </c>
      <c r="G135" s="4">
        <v>87.9</v>
      </c>
      <c r="H135" s="8">
        <v>1.0</v>
      </c>
      <c r="I135" s="7">
        <f t="shared" si="1"/>
        <v>576585.8669</v>
      </c>
      <c r="J135" s="8">
        <f t="shared" si="2"/>
        <v>-49285.73686</v>
      </c>
    </row>
    <row r="136">
      <c r="A136" s="2" t="s">
        <v>55</v>
      </c>
      <c r="B136" s="2" t="s">
        <v>20</v>
      </c>
      <c r="C136" s="2" t="s">
        <v>18</v>
      </c>
      <c r="D136" s="4">
        <v>70366.76</v>
      </c>
      <c r="E136" s="4">
        <v>1963.0</v>
      </c>
      <c r="F136" s="4">
        <v>529075.95</v>
      </c>
      <c r="G136" s="4">
        <v>89.8</v>
      </c>
      <c r="H136" s="8">
        <v>1.0</v>
      </c>
      <c r="I136" s="7">
        <f t="shared" si="1"/>
        <v>545894.6731</v>
      </c>
      <c r="J136" s="8">
        <f t="shared" si="2"/>
        <v>-16818.72311</v>
      </c>
    </row>
    <row r="137">
      <c r="A137" s="2" t="s">
        <v>55</v>
      </c>
      <c r="B137" s="2" t="s">
        <v>20</v>
      </c>
      <c r="C137" s="2" t="s">
        <v>18</v>
      </c>
      <c r="D137" s="4">
        <v>52285.45</v>
      </c>
      <c r="E137" s="4">
        <v>3618.0</v>
      </c>
      <c r="F137" s="4">
        <v>593247.25</v>
      </c>
      <c r="G137" s="4">
        <v>95.6</v>
      </c>
      <c r="H137" s="8">
        <v>1.0</v>
      </c>
      <c r="I137" s="7">
        <f t="shared" si="1"/>
        <v>597289.965</v>
      </c>
      <c r="J137" s="8">
        <f t="shared" si="2"/>
        <v>-4042.714988</v>
      </c>
    </row>
    <row r="138">
      <c r="A138" s="2" t="s">
        <v>56</v>
      </c>
      <c r="B138" s="2" t="s">
        <v>24</v>
      </c>
      <c r="C138" s="2" t="s">
        <v>16</v>
      </c>
      <c r="D138" s="4">
        <v>71320.66</v>
      </c>
      <c r="E138" s="4">
        <v>7888.0</v>
      </c>
      <c r="F138" s="4">
        <v>633638.03</v>
      </c>
      <c r="G138" s="4">
        <v>78.1</v>
      </c>
      <c r="H138" s="8">
        <v>0.0</v>
      </c>
      <c r="I138" s="7">
        <f t="shared" si="1"/>
        <v>713271.4142</v>
      </c>
      <c r="J138" s="8">
        <f t="shared" si="2"/>
        <v>-79633.38417</v>
      </c>
    </row>
    <row r="139">
      <c r="A139" s="2" t="s">
        <v>56</v>
      </c>
      <c r="B139" s="2" t="s">
        <v>24</v>
      </c>
      <c r="C139" s="2" t="s">
        <v>16</v>
      </c>
      <c r="D139" s="4">
        <v>44211.95</v>
      </c>
      <c r="E139" s="4">
        <v>5465.0</v>
      </c>
      <c r="F139" s="4">
        <v>646559.71</v>
      </c>
      <c r="G139" s="4">
        <v>90.0</v>
      </c>
      <c r="H139" s="8">
        <v>0.0</v>
      </c>
      <c r="I139" s="7">
        <f t="shared" si="1"/>
        <v>634612.8672</v>
      </c>
      <c r="J139" s="8">
        <f t="shared" si="2"/>
        <v>11946.84283</v>
      </c>
    </row>
    <row r="140">
      <c r="A140" s="2" t="s">
        <v>56</v>
      </c>
      <c r="B140" s="2" t="s">
        <v>24</v>
      </c>
      <c r="C140" s="2" t="s">
        <v>16</v>
      </c>
      <c r="D140" s="4">
        <v>75109.67</v>
      </c>
      <c r="E140" s="4">
        <v>6244.0</v>
      </c>
      <c r="F140" s="4">
        <v>743348.84</v>
      </c>
      <c r="G140" s="4">
        <v>96.3</v>
      </c>
      <c r="H140" s="8">
        <v>0.0</v>
      </c>
      <c r="I140" s="7">
        <f t="shared" si="1"/>
        <v>715616.4717</v>
      </c>
      <c r="J140" s="8">
        <f t="shared" si="2"/>
        <v>27732.36828</v>
      </c>
    </row>
    <row r="141">
      <c r="A141" s="2" t="s">
        <v>56</v>
      </c>
      <c r="B141" s="2" t="s">
        <v>24</v>
      </c>
      <c r="C141" s="2" t="s">
        <v>16</v>
      </c>
      <c r="D141" s="4">
        <v>69779.0</v>
      </c>
      <c r="E141" s="4">
        <v>6544.0</v>
      </c>
      <c r="F141" s="4">
        <v>758827.64</v>
      </c>
      <c r="G141" s="4">
        <v>90.2</v>
      </c>
      <c r="H141" s="8">
        <v>0.0</v>
      </c>
      <c r="I141" s="7">
        <f t="shared" si="1"/>
        <v>701602.9024</v>
      </c>
      <c r="J141" s="8">
        <f t="shared" si="2"/>
        <v>57224.7376</v>
      </c>
    </row>
    <row r="142">
      <c r="A142" s="2" t="s">
        <v>57</v>
      </c>
      <c r="B142" s="2" t="s">
        <v>27</v>
      </c>
      <c r="C142" s="2" t="s">
        <v>18</v>
      </c>
      <c r="D142" s="4">
        <v>50198.12</v>
      </c>
      <c r="E142" s="4">
        <v>6089.0</v>
      </c>
      <c r="F142" s="4">
        <v>695098.51</v>
      </c>
      <c r="G142" s="4">
        <v>94.0</v>
      </c>
      <c r="H142" s="8">
        <v>0.0</v>
      </c>
      <c r="I142" s="7">
        <f t="shared" si="1"/>
        <v>674359.362</v>
      </c>
      <c r="J142" s="8">
        <f t="shared" si="2"/>
        <v>20739.14798</v>
      </c>
    </row>
    <row r="143">
      <c r="A143" s="2" t="s">
        <v>57</v>
      </c>
      <c r="B143" s="2" t="s">
        <v>27</v>
      </c>
      <c r="C143" s="2" t="s">
        <v>18</v>
      </c>
      <c r="D143" s="4">
        <v>45706.49</v>
      </c>
      <c r="E143" s="4">
        <v>6704.0</v>
      </c>
      <c r="F143" s="4">
        <v>715097.57</v>
      </c>
      <c r="G143" s="4">
        <v>94.2</v>
      </c>
      <c r="H143" s="8">
        <v>0.0</v>
      </c>
      <c r="I143" s="7">
        <f t="shared" si="1"/>
        <v>690360.6756</v>
      </c>
      <c r="J143" s="8">
        <f t="shared" si="2"/>
        <v>24736.8944</v>
      </c>
    </row>
    <row r="144">
      <c r="A144" s="2" t="s">
        <v>57</v>
      </c>
      <c r="B144" s="2" t="s">
        <v>27</v>
      </c>
      <c r="C144" s="2" t="s">
        <v>18</v>
      </c>
      <c r="D144" s="4">
        <v>51430.31</v>
      </c>
      <c r="E144" s="4">
        <v>6427.0</v>
      </c>
      <c r="F144" s="4">
        <v>715890.53</v>
      </c>
      <c r="G144" s="4">
        <v>88.8</v>
      </c>
      <c r="H144" s="8">
        <v>0.0</v>
      </c>
      <c r="I144" s="7">
        <f t="shared" si="1"/>
        <v>671979.4435</v>
      </c>
      <c r="J144" s="8">
        <f t="shared" si="2"/>
        <v>43911.08647</v>
      </c>
    </row>
    <row r="145">
      <c r="A145" s="2" t="s">
        <v>57</v>
      </c>
      <c r="B145" s="2" t="s">
        <v>27</v>
      </c>
      <c r="C145" s="2" t="s">
        <v>18</v>
      </c>
      <c r="D145" s="4">
        <v>44034.6</v>
      </c>
      <c r="E145" s="4">
        <v>5645.0</v>
      </c>
      <c r="F145" s="4">
        <v>682639.28</v>
      </c>
      <c r="G145" s="4">
        <v>88.5</v>
      </c>
      <c r="H145" s="8">
        <v>0.0</v>
      </c>
      <c r="I145" s="7">
        <f t="shared" si="1"/>
        <v>636076.4781</v>
      </c>
      <c r="J145" s="8">
        <f t="shared" si="2"/>
        <v>46562.80191</v>
      </c>
    </row>
    <row r="146">
      <c r="A146" s="2" t="s">
        <v>58</v>
      </c>
      <c r="B146" s="2" t="s">
        <v>20</v>
      </c>
      <c r="C146" s="2" t="s">
        <v>16</v>
      </c>
      <c r="D146" s="4">
        <v>70488.2</v>
      </c>
      <c r="E146" s="4">
        <v>4312.0</v>
      </c>
      <c r="F146" s="4">
        <v>577732.57</v>
      </c>
      <c r="G146" s="4">
        <v>90.2</v>
      </c>
      <c r="H146" s="8">
        <v>1.0</v>
      </c>
      <c r="I146" s="7">
        <f t="shared" si="1"/>
        <v>626277.7321</v>
      </c>
      <c r="J146" s="8">
        <f t="shared" si="2"/>
        <v>-48545.16208</v>
      </c>
    </row>
    <row r="147">
      <c r="A147" s="2" t="s">
        <v>58</v>
      </c>
      <c r="B147" s="2" t="s">
        <v>20</v>
      </c>
      <c r="C147" s="2" t="s">
        <v>16</v>
      </c>
      <c r="D147" s="4">
        <v>50909.27</v>
      </c>
      <c r="E147" s="4">
        <v>3152.0</v>
      </c>
      <c r="F147" s="4">
        <v>537058.33</v>
      </c>
      <c r="G147" s="4">
        <v>93.7</v>
      </c>
      <c r="H147" s="8">
        <v>1.0</v>
      </c>
      <c r="I147" s="7">
        <f t="shared" si="1"/>
        <v>574427.9314</v>
      </c>
      <c r="J147" s="8">
        <f t="shared" si="2"/>
        <v>-37369.60141</v>
      </c>
    </row>
    <row r="148">
      <c r="A148" s="2" t="s">
        <v>58</v>
      </c>
      <c r="B148" s="2" t="s">
        <v>20</v>
      </c>
      <c r="C148" s="2" t="s">
        <v>16</v>
      </c>
      <c r="D148" s="4">
        <v>53351.7</v>
      </c>
      <c r="E148" s="4">
        <v>4259.0</v>
      </c>
      <c r="F148" s="4">
        <v>601568.87</v>
      </c>
      <c r="G148" s="4">
        <v>93.7</v>
      </c>
      <c r="H148" s="8">
        <v>1.0</v>
      </c>
      <c r="I148" s="7">
        <f t="shared" si="1"/>
        <v>614564.9712</v>
      </c>
      <c r="J148" s="8">
        <f t="shared" si="2"/>
        <v>-12996.10118</v>
      </c>
    </row>
    <row r="149">
      <c r="A149" s="2" t="s">
        <v>58</v>
      </c>
      <c r="B149" s="2" t="s">
        <v>20</v>
      </c>
      <c r="C149" s="2" t="s">
        <v>16</v>
      </c>
      <c r="D149" s="4">
        <v>60322.4</v>
      </c>
      <c r="E149" s="4">
        <v>3350.0</v>
      </c>
      <c r="F149" s="4">
        <v>570964.84</v>
      </c>
      <c r="G149" s="4">
        <v>89.4</v>
      </c>
      <c r="H149" s="8">
        <v>1.0</v>
      </c>
      <c r="I149" s="7">
        <f t="shared" si="1"/>
        <v>579593.9404</v>
      </c>
      <c r="J149" s="8">
        <f t="shared" si="2"/>
        <v>-8629.100365</v>
      </c>
    </row>
    <row r="150">
      <c r="A150" s="2" t="s">
        <v>59</v>
      </c>
      <c r="B150" s="2" t="s">
        <v>24</v>
      </c>
      <c r="C150" s="2" t="s">
        <v>28</v>
      </c>
      <c r="D150" s="4">
        <v>51575.68</v>
      </c>
      <c r="E150" s="4">
        <v>5329.0</v>
      </c>
      <c r="F150" s="4">
        <v>614024.91</v>
      </c>
      <c r="G150" s="4">
        <v>88.1</v>
      </c>
      <c r="H150" s="8">
        <v>0.0</v>
      </c>
      <c r="I150" s="7">
        <f t="shared" si="1"/>
        <v>633143.2628</v>
      </c>
      <c r="J150" s="8">
        <f t="shared" si="2"/>
        <v>-19118.35283</v>
      </c>
    </row>
    <row r="151">
      <c r="A151" s="2" t="s">
        <v>59</v>
      </c>
      <c r="B151" s="2" t="s">
        <v>24</v>
      </c>
      <c r="C151" s="2" t="s">
        <v>28</v>
      </c>
      <c r="D151" s="4">
        <v>43319.94</v>
      </c>
      <c r="E151" s="4">
        <v>6551.0</v>
      </c>
      <c r="F151" s="4">
        <v>712868.35</v>
      </c>
      <c r="G151" s="4">
        <v>99.0</v>
      </c>
      <c r="H151" s="8">
        <v>0.0</v>
      </c>
      <c r="I151" s="7">
        <f t="shared" si="1"/>
        <v>696439.8075</v>
      </c>
      <c r="J151" s="8">
        <f t="shared" si="2"/>
        <v>16428.5425</v>
      </c>
    </row>
    <row r="152">
      <c r="A152" s="2" t="s">
        <v>59</v>
      </c>
      <c r="B152" s="2" t="s">
        <v>24</v>
      </c>
      <c r="C152" s="2" t="s">
        <v>28</v>
      </c>
      <c r="D152" s="4">
        <v>71855.09</v>
      </c>
      <c r="E152" s="4">
        <v>5911.0</v>
      </c>
      <c r="F152" s="4">
        <v>725847.99</v>
      </c>
      <c r="G152" s="4">
        <v>94.3</v>
      </c>
      <c r="H152" s="8">
        <v>0.0</v>
      </c>
      <c r="I152" s="7">
        <f t="shared" si="1"/>
        <v>694728.6375</v>
      </c>
      <c r="J152" s="8">
        <f t="shared" si="2"/>
        <v>31119.35249</v>
      </c>
    </row>
    <row r="153">
      <c r="A153" s="2" t="s">
        <v>59</v>
      </c>
      <c r="B153" s="2" t="s">
        <v>24</v>
      </c>
      <c r="C153" s="2" t="s">
        <v>28</v>
      </c>
      <c r="D153" s="4">
        <v>47093.55</v>
      </c>
      <c r="E153" s="4">
        <v>5550.0</v>
      </c>
      <c r="F153" s="4">
        <v>696744.15</v>
      </c>
      <c r="G153" s="4">
        <v>95.0</v>
      </c>
      <c r="H153" s="8">
        <v>0.0</v>
      </c>
      <c r="I153" s="7">
        <f t="shared" si="1"/>
        <v>655487.2867</v>
      </c>
      <c r="J153" s="8">
        <f t="shared" si="2"/>
        <v>41256.86326</v>
      </c>
    </row>
    <row r="154">
      <c r="A154" s="2" t="s">
        <v>60</v>
      </c>
      <c r="B154" s="2" t="s">
        <v>15</v>
      </c>
      <c r="C154" s="2" t="s">
        <v>18</v>
      </c>
      <c r="D154" s="4">
        <v>61433.84</v>
      </c>
      <c r="E154" s="4">
        <v>7745.0</v>
      </c>
      <c r="F154" s="4">
        <v>685830.24</v>
      </c>
      <c r="G154" s="4">
        <v>90.5</v>
      </c>
      <c r="H154" s="8">
        <v>0.0</v>
      </c>
      <c r="I154" s="7">
        <f t="shared" si="1"/>
        <v>733087.752</v>
      </c>
      <c r="J154" s="8">
        <f t="shared" si="2"/>
        <v>-47257.51203</v>
      </c>
    </row>
    <row r="155">
      <c r="A155" s="2" t="s">
        <v>60</v>
      </c>
      <c r="B155" s="2" t="s">
        <v>15</v>
      </c>
      <c r="C155" s="2" t="s">
        <v>18</v>
      </c>
      <c r="D155" s="4">
        <v>75645.23</v>
      </c>
      <c r="E155" s="4">
        <v>9674.0</v>
      </c>
      <c r="F155" s="4">
        <v>785028.25</v>
      </c>
      <c r="G155" s="4">
        <v>87.4</v>
      </c>
      <c r="H155" s="8">
        <v>0.0</v>
      </c>
      <c r="I155" s="7">
        <f t="shared" si="1"/>
        <v>805676.924</v>
      </c>
      <c r="J155" s="8">
        <f t="shared" si="2"/>
        <v>-20648.674</v>
      </c>
    </row>
    <row r="156">
      <c r="A156" s="2" t="s">
        <v>60</v>
      </c>
      <c r="B156" s="2" t="s">
        <v>15</v>
      </c>
      <c r="C156" s="2" t="s">
        <v>18</v>
      </c>
      <c r="D156" s="4">
        <v>42698.14</v>
      </c>
      <c r="E156" s="4">
        <v>7693.0</v>
      </c>
      <c r="F156" s="4">
        <v>702318.94</v>
      </c>
      <c r="G156" s="4">
        <v>90.1</v>
      </c>
      <c r="H156" s="8">
        <v>0.0</v>
      </c>
      <c r="I156" s="7">
        <f t="shared" si="1"/>
        <v>708121.3738</v>
      </c>
      <c r="J156" s="8">
        <f t="shared" si="2"/>
        <v>-5802.433762</v>
      </c>
    </row>
    <row r="157">
      <c r="A157" s="2" t="s">
        <v>60</v>
      </c>
      <c r="B157" s="2" t="s">
        <v>15</v>
      </c>
      <c r="C157" s="2" t="s">
        <v>18</v>
      </c>
      <c r="D157" s="4">
        <v>64374.75</v>
      </c>
      <c r="E157" s="4">
        <v>6740.0</v>
      </c>
      <c r="F157" s="4">
        <v>698492.67</v>
      </c>
      <c r="G157" s="4">
        <v>87.0</v>
      </c>
      <c r="H157" s="8">
        <v>0.0</v>
      </c>
      <c r="I157" s="7">
        <f t="shared" si="1"/>
        <v>692482.9973</v>
      </c>
      <c r="J157" s="8">
        <f t="shared" si="2"/>
        <v>6009.672701</v>
      </c>
    </row>
    <row r="158">
      <c r="A158" s="2" t="s">
        <v>61</v>
      </c>
      <c r="B158" s="2" t="s">
        <v>20</v>
      </c>
      <c r="C158" s="2" t="s">
        <v>28</v>
      </c>
      <c r="D158" s="4">
        <v>41863.08</v>
      </c>
      <c r="E158" s="4">
        <v>5400.0</v>
      </c>
      <c r="F158" s="4">
        <v>602002.32</v>
      </c>
      <c r="G158" s="4">
        <v>91.6</v>
      </c>
      <c r="H158" s="8">
        <v>1.0</v>
      </c>
      <c r="I158" s="7">
        <f t="shared" si="1"/>
        <v>633312.4767</v>
      </c>
      <c r="J158" s="8">
        <f t="shared" si="2"/>
        <v>-31310.15674</v>
      </c>
    </row>
    <row r="159">
      <c r="A159" s="2" t="s">
        <v>61</v>
      </c>
      <c r="B159" s="2" t="s">
        <v>20</v>
      </c>
      <c r="C159" s="2" t="s">
        <v>28</v>
      </c>
      <c r="D159" s="4">
        <v>86883.31</v>
      </c>
      <c r="E159" s="4">
        <v>6424.0</v>
      </c>
      <c r="F159" s="4">
        <v>700078.32</v>
      </c>
      <c r="G159" s="4">
        <v>85.2</v>
      </c>
      <c r="H159" s="8">
        <v>1.0</v>
      </c>
      <c r="I159" s="7">
        <f t="shared" si="1"/>
        <v>702039.9612</v>
      </c>
      <c r="J159" s="8">
        <f t="shared" si="2"/>
        <v>-1961.641187</v>
      </c>
    </row>
    <row r="160">
      <c r="A160" s="2" t="s">
        <v>61</v>
      </c>
      <c r="B160" s="2" t="s">
        <v>20</v>
      </c>
      <c r="C160" s="2" t="s">
        <v>28</v>
      </c>
      <c r="D160" s="4">
        <v>23254.57</v>
      </c>
      <c r="E160" s="4">
        <v>3847.0</v>
      </c>
      <c r="F160" s="4">
        <v>620973.03</v>
      </c>
      <c r="G160" s="4">
        <v>93.0</v>
      </c>
      <c r="H160" s="8">
        <v>1.0</v>
      </c>
      <c r="I160" s="7">
        <f t="shared" si="1"/>
        <v>563234.25</v>
      </c>
      <c r="J160" s="8">
        <f t="shared" si="2"/>
        <v>57738.78</v>
      </c>
    </row>
    <row r="161">
      <c r="A161" s="2" t="s">
        <v>61</v>
      </c>
      <c r="B161" s="2" t="s">
        <v>20</v>
      </c>
      <c r="C161" s="2" t="s">
        <v>28</v>
      </c>
      <c r="D161" s="4">
        <v>56918.16</v>
      </c>
      <c r="E161" s="4">
        <v>7015.0</v>
      </c>
      <c r="F161" s="4">
        <v>724216.07</v>
      </c>
      <c r="G161" s="4">
        <v>74.2</v>
      </c>
      <c r="H161" s="8">
        <v>1.0</v>
      </c>
      <c r="I161" s="7">
        <f t="shared" si="1"/>
        <v>654504.5708</v>
      </c>
      <c r="J161" s="8">
        <f t="shared" si="2"/>
        <v>69711.49917</v>
      </c>
    </row>
    <row r="162">
      <c r="A162" s="2" t="s">
        <v>62</v>
      </c>
      <c r="B162" s="2" t="s">
        <v>24</v>
      </c>
      <c r="C162" s="2" t="s">
        <v>18</v>
      </c>
      <c r="D162" s="4">
        <v>41443.41</v>
      </c>
      <c r="E162" s="4">
        <v>7455.0</v>
      </c>
      <c r="F162" s="4">
        <v>650480.06</v>
      </c>
      <c r="G162" s="4">
        <v>90.1</v>
      </c>
      <c r="H162" s="8">
        <v>0.0</v>
      </c>
      <c r="I162" s="7">
        <f t="shared" si="1"/>
        <v>698633.5533</v>
      </c>
      <c r="J162" s="8">
        <f t="shared" si="2"/>
        <v>-48153.49331</v>
      </c>
    </row>
    <row r="163">
      <c r="A163" s="2" t="s">
        <v>62</v>
      </c>
      <c r="B163" s="2" t="s">
        <v>24</v>
      </c>
      <c r="C163" s="2" t="s">
        <v>18</v>
      </c>
      <c r="D163" s="4">
        <v>57143.3</v>
      </c>
      <c r="E163" s="4">
        <v>8038.0</v>
      </c>
      <c r="F163" s="4">
        <v>677096.71</v>
      </c>
      <c r="G163" s="4">
        <v>72.6</v>
      </c>
      <c r="H163" s="8">
        <v>0.0</v>
      </c>
      <c r="I163" s="7">
        <f t="shared" si="1"/>
        <v>685553.4937</v>
      </c>
      <c r="J163" s="8">
        <f t="shared" si="2"/>
        <v>-8456.783678</v>
      </c>
    </row>
    <row r="164">
      <c r="A164" s="2" t="s">
        <v>62</v>
      </c>
      <c r="B164" s="2" t="s">
        <v>24</v>
      </c>
      <c r="C164" s="2" t="s">
        <v>18</v>
      </c>
      <c r="D164" s="4">
        <v>66870.62</v>
      </c>
      <c r="E164" s="4">
        <v>6055.0</v>
      </c>
      <c r="F164" s="4">
        <v>692008.64</v>
      </c>
      <c r="G164" s="4">
        <v>93.8</v>
      </c>
      <c r="H164" s="8">
        <v>0.0</v>
      </c>
      <c r="I164" s="7">
        <f t="shared" si="1"/>
        <v>692248.4197</v>
      </c>
      <c r="J164" s="8">
        <f t="shared" si="2"/>
        <v>-239.7797286</v>
      </c>
    </row>
    <row r="165">
      <c r="A165" s="2" t="s">
        <v>62</v>
      </c>
      <c r="B165" s="2" t="s">
        <v>24</v>
      </c>
      <c r="C165" s="2" t="s">
        <v>18</v>
      </c>
      <c r="D165" s="4">
        <v>48438.85</v>
      </c>
      <c r="E165" s="4">
        <v>6992.0</v>
      </c>
      <c r="F165" s="4">
        <v>778298.88</v>
      </c>
      <c r="G165" s="4">
        <v>91.0</v>
      </c>
      <c r="H165" s="8">
        <v>0.0</v>
      </c>
      <c r="I165" s="7">
        <f t="shared" si="1"/>
        <v>693911.9134</v>
      </c>
      <c r="J165" s="8">
        <f t="shared" si="2"/>
        <v>84386.96661</v>
      </c>
    </row>
    <row r="166">
      <c r="A166" s="2" t="s">
        <v>63</v>
      </c>
      <c r="B166" s="2" t="s">
        <v>20</v>
      </c>
      <c r="C166" s="2" t="s">
        <v>28</v>
      </c>
      <c r="D166" s="4">
        <v>35303.3</v>
      </c>
      <c r="E166" s="4">
        <v>8789.0</v>
      </c>
      <c r="F166" s="4">
        <v>706285.52</v>
      </c>
      <c r="G166" s="4">
        <v>86.1</v>
      </c>
      <c r="H166" s="8">
        <v>1.0</v>
      </c>
      <c r="I166" s="7">
        <f t="shared" si="1"/>
        <v>723587.0326</v>
      </c>
      <c r="J166" s="8">
        <f t="shared" si="2"/>
        <v>-17301.51259</v>
      </c>
    </row>
    <row r="167">
      <c r="A167" s="2" t="s">
        <v>63</v>
      </c>
      <c r="B167" s="2" t="s">
        <v>20</v>
      </c>
      <c r="C167" s="2" t="s">
        <v>28</v>
      </c>
      <c r="D167" s="4">
        <v>30301.86</v>
      </c>
      <c r="E167" s="4">
        <v>6939.0</v>
      </c>
      <c r="F167" s="4">
        <v>665534.7</v>
      </c>
      <c r="G167" s="4">
        <v>90.3</v>
      </c>
      <c r="H167" s="8">
        <v>1.0</v>
      </c>
      <c r="I167" s="7">
        <f t="shared" si="1"/>
        <v>667711.3384</v>
      </c>
      <c r="J167" s="8">
        <f t="shared" si="2"/>
        <v>-2176.638436</v>
      </c>
    </row>
    <row r="168">
      <c r="A168" s="2" t="s">
        <v>63</v>
      </c>
      <c r="B168" s="2" t="s">
        <v>20</v>
      </c>
      <c r="C168" s="2" t="s">
        <v>28</v>
      </c>
      <c r="D168" s="4">
        <v>78432.14</v>
      </c>
      <c r="E168" s="4">
        <v>9440.0</v>
      </c>
      <c r="F168" s="4">
        <v>820729.29</v>
      </c>
      <c r="G168" s="4">
        <v>89.2</v>
      </c>
      <c r="H168" s="8">
        <v>1.0</v>
      </c>
      <c r="I168" s="7">
        <f t="shared" si="1"/>
        <v>805315.918</v>
      </c>
      <c r="J168" s="8">
        <f t="shared" si="2"/>
        <v>15413.37203</v>
      </c>
    </row>
    <row r="169">
      <c r="A169" s="2" t="s">
        <v>63</v>
      </c>
      <c r="B169" s="2" t="s">
        <v>20</v>
      </c>
      <c r="C169" s="2" t="s">
        <v>28</v>
      </c>
      <c r="D169" s="4">
        <v>72150.53</v>
      </c>
      <c r="E169" s="4">
        <v>9323.0</v>
      </c>
      <c r="F169" s="4">
        <v>825797.91</v>
      </c>
      <c r="G169" s="4">
        <v>82.9</v>
      </c>
      <c r="H169" s="8">
        <v>1.0</v>
      </c>
      <c r="I169" s="7">
        <f t="shared" si="1"/>
        <v>775561.7278</v>
      </c>
      <c r="J169" s="8">
        <f t="shared" si="2"/>
        <v>50236.1822</v>
      </c>
    </row>
    <row r="170">
      <c r="A170" s="2" t="s">
        <v>64</v>
      </c>
      <c r="B170" s="2" t="s">
        <v>15</v>
      </c>
      <c r="C170" s="2" t="s">
        <v>16</v>
      </c>
      <c r="D170" s="4">
        <v>32834.48</v>
      </c>
      <c r="E170" s="4">
        <v>7576.0</v>
      </c>
      <c r="F170" s="4">
        <v>593637.14</v>
      </c>
      <c r="G170" s="4">
        <v>84.1</v>
      </c>
      <c r="H170" s="8">
        <v>0.0</v>
      </c>
      <c r="I170" s="7">
        <f t="shared" si="1"/>
        <v>675029.5518</v>
      </c>
      <c r="J170" s="8">
        <f t="shared" si="2"/>
        <v>-81392.41182</v>
      </c>
    </row>
    <row r="171">
      <c r="A171" s="2" t="s">
        <v>64</v>
      </c>
      <c r="B171" s="2" t="s">
        <v>15</v>
      </c>
      <c r="C171" s="2" t="s">
        <v>16</v>
      </c>
      <c r="D171" s="4">
        <v>62059.18</v>
      </c>
      <c r="E171" s="4">
        <v>9374.0</v>
      </c>
      <c r="F171" s="4">
        <v>739831.73</v>
      </c>
      <c r="G171" s="4">
        <v>87.1</v>
      </c>
      <c r="H171" s="8">
        <v>0.0</v>
      </c>
      <c r="I171" s="7">
        <f t="shared" si="1"/>
        <v>778714.5602</v>
      </c>
      <c r="J171" s="8">
        <f t="shared" si="2"/>
        <v>-38882.8302</v>
      </c>
    </row>
    <row r="172">
      <c r="A172" s="2" t="s">
        <v>64</v>
      </c>
      <c r="B172" s="2" t="s">
        <v>15</v>
      </c>
      <c r="C172" s="2" t="s">
        <v>16</v>
      </c>
      <c r="D172" s="4">
        <v>36606.51</v>
      </c>
      <c r="E172" s="4">
        <v>7671.0</v>
      </c>
      <c r="F172" s="4">
        <v>679731.57</v>
      </c>
      <c r="G172" s="4">
        <v>89.8</v>
      </c>
      <c r="H172" s="8">
        <v>0.0</v>
      </c>
      <c r="I172" s="7">
        <f t="shared" si="1"/>
        <v>699335.491</v>
      </c>
      <c r="J172" s="8">
        <f t="shared" si="2"/>
        <v>-19603.92096</v>
      </c>
    </row>
    <row r="173">
      <c r="A173" s="2" t="s">
        <v>64</v>
      </c>
      <c r="B173" s="2" t="s">
        <v>15</v>
      </c>
      <c r="C173" s="2" t="s">
        <v>16</v>
      </c>
      <c r="D173" s="4">
        <v>50825.08</v>
      </c>
      <c r="E173" s="4">
        <v>8949.0</v>
      </c>
      <c r="F173" s="4">
        <v>769702.76</v>
      </c>
      <c r="G173" s="4">
        <v>84.7</v>
      </c>
      <c r="H173" s="8">
        <v>0.0</v>
      </c>
      <c r="I173" s="7">
        <f t="shared" si="1"/>
        <v>744170.6343</v>
      </c>
      <c r="J173" s="8">
        <f t="shared" si="2"/>
        <v>25532.12573</v>
      </c>
    </row>
    <row r="174">
      <c r="A174" s="2" t="s">
        <v>65</v>
      </c>
      <c r="B174" s="2" t="s">
        <v>15</v>
      </c>
      <c r="C174" s="2" t="s">
        <v>16</v>
      </c>
      <c r="D174" s="4">
        <v>43645.98</v>
      </c>
      <c r="E174" s="4">
        <v>9480.0</v>
      </c>
      <c r="F174" s="4">
        <v>721364.11</v>
      </c>
      <c r="G174" s="4">
        <v>89.0</v>
      </c>
      <c r="H174" s="8">
        <v>0.0</v>
      </c>
      <c r="I174" s="7">
        <f t="shared" si="1"/>
        <v>766172.4751</v>
      </c>
      <c r="J174" s="8">
        <f t="shared" si="2"/>
        <v>-44808.36511</v>
      </c>
    </row>
    <row r="175">
      <c r="A175" s="2" t="s">
        <v>65</v>
      </c>
      <c r="B175" s="2" t="s">
        <v>15</v>
      </c>
      <c r="C175" s="2" t="s">
        <v>16</v>
      </c>
      <c r="D175" s="4">
        <v>68040.15</v>
      </c>
      <c r="E175" s="4">
        <v>9826.0</v>
      </c>
      <c r="F175" s="4">
        <v>758138.29</v>
      </c>
      <c r="G175" s="4">
        <v>83.9</v>
      </c>
      <c r="H175" s="8">
        <v>0.0</v>
      </c>
      <c r="I175" s="7">
        <f t="shared" si="1"/>
        <v>791608.8708</v>
      </c>
      <c r="J175" s="8">
        <f t="shared" si="2"/>
        <v>-33470.5808</v>
      </c>
    </row>
    <row r="176">
      <c r="A176" s="2" t="s">
        <v>65</v>
      </c>
      <c r="B176" s="2" t="s">
        <v>15</v>
      </c>
      <c r="C176" s="2" t="s">
        <v>16</v>
      </c>
      <c r="D176" s="4">
        <v>63043.94</v>
      </c>
      <c r="E176" s="4">
        <v>10402.0</v>
      </c>
      <c r="F176" s="4">
        <v>804264.0</v>
      </c>
      <c r="G176" s="4">
        <v>93.9</v>
      </c>
      <c r="H176" s="8">
        <v>0.0</v>
      </c>
      <c r="I176" s="7">
        <f t="shared" si="1"/>
        <v>834363.654</v>
      </c>
      <c r="J176" s="8">
        <f t="shared" si="2"/>
        <v>-30099.65405</v>
      </c>
    </row>
    <row r="177">
      <c r="A177" s="2" t="s">
        <v>65</v>
      </c>
      <c r="B177" s="2" t="s">
        <v>15</v>
      </c>
      <c r="C177" s="2" t="s">
        <v>16</v>
      </c>
      <c r="D177" s="4">
        <v>65237.79</v>
      </c>
      <c r="E177" s="4">
        <v>8741.0</v>
      </c>
      <c r="F177" s="4">
        <v>780344.18</v>
      </c>
      <c r="G177" s="4">
        <v>94.4</v>
      </c>
      <c r="H177" s="8">
        <v>0.0</v>
      </c>
      <c r="I177" s="7">
        <f t="shared" si="1"/>
        <v>782495.9907</v>
      </c>
      <c r="J177" s="8">
        <f t="shared" si="2"/>
        <v>-2151.810735</v>
      </c>
    </row>
    <row r="178">
      <c r="A178" s="2" t="s">
        <v>66</v>
      </c>
      <c r="B178" s="2" t="s">
        <v>27</v>
      </c>
      <c r="C178" s="2" t="s">
        <v>21</v>
      </c>
      <c r="D178" s="4">
        <v>67494.09</v>
      </c>
      <c r="E178" s="4">
        <v>12361.0</v>
      </c>
      <c r="F178" s="4">
        <v>887537.75</v>
      </c>
      <c r="G178" s="4">
        <v>76.6</v>
      </c>
      <c r="H178" s="8">
        <v>0.0</v>
      </c>
      <c r="I178" s="7">
        <f t="shared" si="1"/>
        <v>854948.9171</v>
      </c>
      <c r="J178" s="8">
        <f t="shared" si="2"/>
        <v>32588.83288</v>
      </c>
    </row>
    <row r="179">
      <c r="A179" s="2" t="s">
        <v>66</v>
      </c>
      <c r="B179" s="2" t="s">
        <v>27</v>
      </c>
      <c r="C179" s="2" t="s">
        <v>21</v>
      </c>
      <c r="D179" s="4">
        <v>40535.09</v>
      </c>
      <c r="E179" s="4">
        <v>8870.0</v>
      </c>
      <c r="F179" s="4">
        <v>781955.52</v>
      </c>
      <c r="G179" s="4">
        <v>86.6</v>
      </c>
      <c r="H179" s="8">
        <v>0.0</v>
      </c>
      <c r="I179" s="7">
        <f t="shared" si="1"/>
        <v>734959.7476</v>
      </c>
      <c r="J179" s="8">
        <f t="shared" si="2"/>
        <v>46995.7724</v>
      </c>
    </row>
    <row r="180">
      <c r="A180" s="2" t="s">
        <v>66</v>
      </c>
      <c r="B180" s="2" t="s">
        <v>27</v>
      </c>
      <c r="C180" s="2" t="s">
        <v>21</v>
      </c>
      <c r="D180" s="4">
        <v>74881.56</v>
      </c>
      <c r="E180" s="4">
        <v>9999.0</v>
      </c>
      <c r="F180" s="4">
        <v>898031.04</v>
      </c>
      <c r="G180" s="4">
        <v>89.6</v>
      </c>
      <c r="H180" s="8">
        <v>0.0</v>
      </c>
      <c r="I180" s="7">
        <f t="shared" si="1"/>
        <v>822152.113</v>
      </c>
      <c r="J180" s="8">
        <f t="shared" si="2"/>
        <v>75878.92697</v>
      </c>
    </row>
    <row r="181">
      <c r="A181" s="2" t="s">
        <v>66</v>
      </c>
      <c r="B181" s="2" t="s">
        <v>27</v>
      </c>
      <c r="C181" s="2" t="s">
        <v>21</v>
      </c>
      <c r="D181" s="4">
        <v>29389.32</v>
      </c>
      <c r="E181" s="4">
        <v>7925.0</v>
      </c>
      <c r="F181" s="4">
        <v>783582.0</v>
      </c>
      <c r="G181" s="4">
        <v>90.9</v>
      </c>
      <c r="H181" s="8">
        <v>0.0</v>
      </c>
      <c r="I181" s="7">
        <f t="shared" si="1"/>
        <v>702609.9686</v>
      </c>
      <c r="J181" s="8">
        <f t="shared" si="2"/>
        <v>80972.03145</v>
      </c>
    </row>
    <row r="182">
      <c r="A182" s="2" t="s">
        <v>67</v>
      </c>
      <c r="B182" s="2" t="s">
        <v>27</v>
      </c>
      <c r="C182" s="2" t="s">
        <v>16</v>
      </c>
      <c r="D182" s="4">
        <v>57948.88</v>
      </c>
      <c r="E182" s="4">
        <v>10741.0</v>
      </c>
      <c r="F182" s="4">
        <v>819660.59</v>
      </c>
      <c r="G182" s="4">
        <v>90.1</v>
      </c>
      <c r="H182" s="8">
        <v>0.0</v>
      </c>
      <c r="I182" s="7">
        <f t="shared" si="1"/>
        <v>828666.4416</v>
      </c>
      <c r="J182" s="8">
        <f t="shared" si="2"/>
        <v>-9005.851648</v>
      </c>
    </row>
    <row r="183">
      <c r="A183" s="2" t="s">
        <v>67</v>
      </c>
      <c r="B183" s="2" t="s">
        <v>27</v>
      </c>
      <c r="C183" s="2" t="s">
        <v>16</v>
      </c>
      <c r="D183" s="4">
        <v>63010.23</v>
      </c>
      <c r="E183" s="4">
        <v>9812.0</v>
      </c>
      <c r="F183" s="4">
        <v>761077.08</v>
      </c>
      <c r="G183" s="4">
        <v>76.8</v>
      </c>
      <c r="H183" s="8">
        <v>0.0</v>
      </c>
      <c r="I183" s="7">
        <f t="shared" si="1"/>
        <v>764455.0585</v>
      </c>
      <c r="J183" s="8">
        <f t="shared" si="2"/>
        <v>-3377.978509</v>
      </c>
    </row>
    <row r="184">
      <c r="A184" s="2" t="s">
        <v>67</v>
      </c>
      <c r="B184" s="2" t="s">
        <v>27</v>
      </c>
      <c r="C184" s="2" t="s">
        <v>16</v>
      </c>
      <c r="D184" s="4">
        <v>45209.25</v>
      </c>
      <c r="E184" s="4">
        <v>9287.0</v>
      </c>
      <c r="F184" s="4">
        <v>751393.88</v>
      </c>
      <c r="G184" s="4">
        <v>86.4</v>
      </c>
      <c r="H184" s="8">
        <v>0.0</v>
      </c>
      <c r="I184" s="7">
        <f t="shared" si="1"/>
        <v>753911.6653</v>
      </c>
      <c r="J184" s="8">
        <f t="shared" si="2"/>
        <v>-2517.785251</v>
      </c>
    </row>
    <row r="185">
      <c r="A185" s="2" t="s">
        <v>67</v>
      </c>
      <c r="B185" s="2" t="s">
        <v>27</v>
      </c>
      <c r="C185" s="2" t="s">
        <v>16</v>
      </c>
      <c r="D185" s="4">
        <v>68491.11</v>
      </c>
      <c r="E185" s="4">
        <v>11154.0</v>
      </c>
      <c r="F185" s="4">
        <v>855341.28</v>
      </c>
      <c r="G185" s="4">
        <v>89.4</v>
      </c>
      <c r="H185" s="8">
        <v>0.0</v>
      </c>
      <c r="I185" s="7">
        <f t="shared" si="1"/>
        <v>852926.3952</v>
      </c>
      <c r="J185" s="8">
        <f t="shared" si="2"/>
        <v>2414.884757</v>
      </c>
    </row>
    <row r="186">
      <c r="A186" s="2" t="s">
        <v>68</v>
      </c>
      <c r="B186" s="2" t="s">
        <v>20</v>
      </c>
      <c r="C186" s="2" t="s">
        <v>18</v>
      </c>
      <c r="D186" s="4">
        <v>71941.62</v>
      </c>
      <c r="E186" s="4">
        <v>6084.0</v>
      </c>
      <c r="F186" s="4">
        <v>681855.56</v>
      </c>
      <c r="G186" s="4">
        <v>93.7</v>
      </c>
      <c r="H186" s="8">
        <v>1.0</v>
      </c>
      <c r="I186" s="7">
        <f t="shared" si="1"/>
        <v>697871.4787</v>
      </c>
      <c r="J186" s="8">
        <f t="shared" si="2"/>
        <v>-16015.9187</v>
      </c>
    </row>
    <row r="187">
      <c r="A187" s="2" t="s">
        <v>68</v>
      </c>
      <c r="B187" s="2" t="s">
        <v>20</v>
      </c>
      <c r="C187" s="2" t="s">
        <v>18</v>
      </c>
      <c r="D187" s="4">
        <v>72784.8</v>
      </c>
      <c r="E187" s="4">
        <v>7932.0</v>
      </c>
      <c r="F187" s="4">
        <v>712546.38</v>
      </c>
      <c r="G187" s="4">
        <v>74.9</v>
      </c>
      <c r="H187" s="8">
        <v>1.0</v>
      </c>
      <c r="I187" s="7">
        <f t="shared" si="1"/>
        <v>706089.3028</v>
      </c>
      <c r="J187" s="8">
        <f t="shared" si="2"/>
        <v>6457.077166</v>
      </c>
    </row>
    <row r="188">
      <c r="A188" s="2" t="s">
        <v>68</v>
      </c>
      <c r="B188" s="2" t="s">
        <v>20</v>
      </c>
      <c r="C188" s="2" t="s">
        <v>18</v>
      </c>
      <c r="D188" s="4">
        <v>57147.88</v>
      </c>
      <c r="E188" s="4">
        <v>5252.0</v>
      </c>
      <c r="F188" s="4">
        <v>678311.17</v>
      </c>
      <c r="G188" s="4">
        <v>95.5</v>
      </c>
      <c r="H188" s="8">
        <v>1.0</v>
      </c>
      <c r="I188" s="7">
        <f t="shared" si="1"/>
        <v>657721.6553</v>
      </c>
      <c r="J188" s="8">
        <f t="shared" si="2"/>
        <v>20589.51469</v>
      </c>
    </row>
    <row r="189">
      <c r="A189" s="2" t="s">
        <v>68</v>
      </c>
      <c r="B189" s="2" t="s">
        <v>20</v>
      </c>
      <c r="C189" s="2" t="s">
        <v>18</v>
      </c>
      <c r="D189" s="4">
        <v>48031.74</v>
      </c>
      <c r="E189" s="4">
        <v>6516.0</v>
      </c>
      <c r="F189" s="4">
        <v>765906.95</v>
      </c>
      <c r="G189" s="4">
        <v>99.0</v>
      </c>
      <c r="H189" s="8">
        <v>1.0</v>
      </c>
      <c r="I189" s="7">
        <f t="shared" si="1"/>
        <v>699778.3243</v>
      </c>
      <c r="J189" s="8">
        <f t="shared" si="2"/>
        <v>66128.62569</v>
      </c>
    </row>
    <row r="190">
      <c r="A190" s="2" t="s">
        <v>69</v>
      </c>
      <c r="B190" s="2" t="s">
        <v>15</v>
      </c>
      <c r="C190" s="2" t="s">
        <v>18</v>
      </c>
      <c r="D190" s="4">
        <v>54966.18</v>
      </c>
      <c r="E190" s="4">
        <v>4423.0</v>
      </c>
      <c r="F190" s="4">
        <v>554012.07</v>
      </c>
      <c r="G190" s="4">
        <v>88.7</v>
      </c>
      <c r="H190" s="8">
        <v>0.0</v>
      </c>
      <c r="I190" s="7">
        <f t="shared" si="1"/>
        <v>608390.4124</v>
      </c>
      <c r="J190" s="8">
        <f t="shared" si="2"/>
        <v>-54378.34237</v>
      </c>
    </row>
    <row r="191">
      <c r="A191" s="2" t="s">
        <v>69</v>
      </c>
      <c r="B191" s="2" t="s">
        <v>15</v>
      </c>
      <c r="C191" s="2" t="s">
        <v>18</v>
      </c>
      <c r="D191" s="4">
        <v>37705.88</v>
      </c>
      <c r="E191" s="4">
        <v>1268.0</v>
      </c>
      <c r="F191" s="4">
        <v>443275.59</v>
      </c>
      <c r="G191" s="4">
        <v>84.1</v>
      </c>
      <c r="H191" s="8">
        <v>0.0</v>
      </c>
      <c r="I191" s="7">
        <f t="shared" si="1"/>
        <v>468426.297</v>
      </c>
      <c r="J191" s="8">
        <f t="shared" si="2"/>
        <v>-25150.70705</v>
      </c>
    </row>
    <row r="192">
      <c r="A192" s="2" t="s">
        <v>69</v>
      </c>
      <c r="B192" s="2" t="s">
        <v>15</v>
      </c>
      <c r="C192" s="2" t="s">
        <v>18</v>
      </c>
      <c r="D192" s="4">
        <v>55788.61</v>
      </c>
      <c r="E192" s="4">
        <v>2312.0</v>
      </c>
      <c r="F192" s="4">
        <v>550962.93</v>
      </c>
      <c r="G192" s="4">
        <v>91.3</v>
      </c>
      <c r="H192" s="8">
        <v>0.0</v>
      </c>
      <c r="I192" s="7">
        <f t="shared" si="1"/>
        <v>545902.8549</v>
      </c>
      <c r="J192" s="8">
        <f t="shared" si="2"/>
        <v>5060.075121</v>
      </c>
    </row>
    <row r="193">
      <c r="A193" s="2" t="s">
        <v>69</v>
      </c>
      <c r="B193" s="2" t="s">
        <v>15</v>
      </c>
      <c r="C193" s="2" t="s">
        <v>18</v>
      </c>
      <c r="D193" s="4">
        <v>71641.9</v>
      </c>
      <c r="E193" s="4">
        <v>3506.0</v>
      </c>
      <c r="F193" s="4">
        <v>625993.83</v>
      </c>
      <c r="G193" s="4">
        <v>86.4</v>
      </c>
      <c r="H193" s="8">
        <v>0.0</v>
      </c>
      <c r="I193" s="7">
        <f t="shared" si="1"/>
        <v>590418.914</v>
      </c>
      <c r="J193" s="8">
        <f t="shared" si="2"/>
        <v>35574.91604</v>
      </c>
    </row>
    <row r="194">
      <c r="A194" s="2" t="s">
        <v>70</v>
      </c>
      <c r="B194" s="2" t="s">
        <v>27</v>
      </c>
      <c r="C194" s="2" t="s">
        <v>16</v>
      </c>
      <c r="D194" s="4">
        <v>41657.64</v>
      </c>
      <c r="E194" s="4">
        <v>3135.0</v>
      </c>
      <c r="F194" s="4">
        <v>449465.06</v>
      </c>
      <c r="G194" s="4">
        <v>85.4</v>
      </c>
      <c r="H194" s="8">
        <v>0.0</v>
      </c>
      <c r="I194" s="7">
        <f t="shared" si="1"/>
        <v>539723.7723</v>
      </c>
      <c r="J194" s="8">
        <f t="shared" si="2"/>
        <v>-90258.71227</v>
      </c>
    </row>
    <row r="195">
      <c r="A195" s="2" t="s">
        <v>70</v>
      </c>
      <c r="B195" s="2" t="s">
        <v>27</v>
      </c>
      <c r="C195" s="2" t="s">
        <v>16</v>
      </c>
      <c r="D195" s="4">
        <v>81796.74</v>
      </c>
      <c r="E195" s="4">
        <v>6177.0</v>
      </c>
      <c r="F195" s="4">
        <v>643428.85</v>
      </c>
      <c r="G195" s="4">
        <v>87.9</v>
      </c>
      <c r="H195" s="8">
        <v>0.0</v>
      </c>
      <c r="I195" s="7">
        <f t="shared" si="1"/>
        <v>696664.0928</v>
      </c>
      <c r="J195" s="8">
        <f t="shared" si="2"/>
        <v>-53235.24283</v>
      </c>
    </row>
    <row r="196">
      <c r="A196" s="2" t="s">
        <v>70</v>
      </c>
      <c r="B196" s="2" t="s">
        <v>27</v>
      </c>
      <c r="C196" s="2" t="s">
        <v>16</v>
      </c>
      <c r="D196" s="4">
        <v>51133.43</v>
      </c>
      <c r="E196" s="4">
        <v>5150.0</v>
      </c>
      <c r="F196" s="4">
        <v>611924.27</v>
      </c>
      <c r="G196" s="4">
        <v>88.5</v>
      </c>
      <c r="H196" s="8">
        <v>0.0</v>
      </c>
      <c r="I196" s="7">
        <f t="shared" si="1"/>
        <v>627767.2949</v>
      </c>
      <c r="J196" s="8">
        <f t="shared" si="2"/>
        <v>-15843.02491</v>
      </c>
    </row>
    <row r="197">
      <c r="A197" s="2" t="s">
        <v>70</v>
      </c>
      <c r="B197" s="2" t="s">
        <v>27</v>
      </c>
      <c r="C197" s="2" t="s">
        <v>16</v>
      </c>
      <c r="D197" s="4">
        <v>40220.18</v>
      </c>
      <c r="E197" s="4">
        <v>3783.0</v>
      </c>
      <c r="F197" s="4">
        <v>559422.02</v>
      </c>
      <c r="G197" s="4">
        <v>86.6</v>
      </c>
      <c r="H197" s="8">
        <v>0.0</v>
      </c>
      <c r="I197" s="7">
        <f t="shared" si="1"/>
        <v>563354.2229</v>
      </c>
      <c r="J197" s="8">
        <f t="shared" si="2"/>
        <v>-3932.202877</v>
      </c>
    </row>
    <row r="198">
      <c r="A198" s="2" t="s">
        <v>71</v>
      </c>
      <c r="B198" s="2" t="s">
        <v>20</v>
      </c>
      <c r="C198" s="2" t="s">
        <v>16</v>
      </c>
      <c r="D198" s="4">
        <v>54479.33</v>
      </c>
      <c r="E198" s="4">
        <v>5012.0</v>
      </c>
      <c r="F198" s="4">
        <v>578949.84</v>
      </c>
      <c r="G198" s="4">
        <v>86.0</v>
      </c>
      <c r="H198" s="8">
        <v>1.0</v>
      </c>
      <c r="I198" s="7">
        <f t="shared" si="1"/>
        <v>618720.2284</v>
      </c>
      <c r="J198" s="8">
        <f t="shared" si="2"/>
        <v>-39770.38844</v>
      </c>
    </row>
    <row r="199">
      <c r="A199" s="2" t="s">
        <v>71</v>
      </c>
      <c r="B199" s="2" t="s">
        <v>20</v>
      </c>
      <c r="C199" s="2" t="s">
        <v>16</v>
      </c>
      <c r="D199" s="4">
        <v>54002.83</v>
      </c>
      <c r="E199" s="4">
        <v>4366.0</v>
      </c>
      <c r="F199" s="4">
        <v>574066.61</v>
      </c>
      <c r="G199" s="4">
        <v>90.6</v>
      </c>
      <c r="H199" s="8">
        <v>1.0</v>
      </c>
      <c r="I199" s="7">
        <f t="shared" si="1"/>
        <v>609866.9929</v>
      </c>
      <c r="J199" s="8">
        <f t="shared" si="2"/>
        <v>-35800.38286</v>
      </c>
    </row>
    <row r="200">
      <c r="A200" s="2" t="s">
        <v>71</v>
      </c>
      <c r="B200" s="2" t="s">
        <v>20</v>
      </c>
      <c r="C200" s="2" t="s">
        <v>16</v>
      </c>
      <c r="D200" s="4">
        <v>71851.45</v>
      </c>
      <c r="E200" s="4">
        <v>4970.0</v>
      </c>
      <c r="F200" s="4">
        <v>691447.43</v>
      </c>
      <c r="G200" s="4">
        <v>89.6</v>
      </c>
      <c r="H200" s="8">
        <v>1.0</v>
      </c>
      <c r="I200" s="7">
        <f t="shared" si="1"/>
        <v>648276.2947</v>
      </c>
      <c r="J200" s="8">
        <f t="shared" si="2"/>
        <v>43171.1353</v>
      </c>
    </row>
    <row r="201">
      <c r="A201" s="2" t="s">
        <v>71</v>
      </c>
      <c r="B201" s="2" t="s">
        <v>20</v>
      </c>
      <c r="C201" s="2" t="s">
        <v>16</v>
      </c>
      <c r="D201" s="4">
        <v>61391.8</v>
      </c>
      <c r="E201" s="4">
        <v>5575.0</v>
      </c>
      <c r="F201" s="4">
        <v>735786.64</v>
      </c>
      <c r="G201" s="4">
        <v>90.0</v>
      </c>
      <c r="H201" s="8">
        <v>1.0</v>
      </c>
      <c r="I201" s="7">
        <f t="shared" si="1"/>
        <v>657503.3569</v>
      </c>
      <c r="J201" s="8">
        <f t="shared" si="2"/>
        <v>78283.28315</v>
      </c>
    </row>
    <row r="202">
      <c r="A202" s="2" t="s">
        <v>72</v>
      </c>
      <c r="B202" s="2" t="s">
        <v>15</v>
      </c>
      <c r="C202" s="2" t="s">
        <v>21</v>
      </c>
      <c r="D202" s="4">
        <v>35203.23</v>
      </c>
      <c r="E202" s="4">
        <v>6896.0</v>
      </c>
      <c r="F202" s="4">
        <v>607084.92</v>
      </c>
      <c r="G202" s="4">
        <v>80.8</v>
      </c>
      <c r="H202" s="8">
        <v>0.0</v>
      </c>
      <c r="I202" s="7">
        <f t="shared" si="1"/>
        <v>645276.356</v>
      </c>
      <c r="J202" s="8">
        <f t="shared" si="2"/>
        <v>-38191.43602</v>
      </c>
    </row>
    <row r="203">
      <c r="A203" s="2" t="s">
        <v>72</v>
      </c>
      <c r="B203" s="2" t="s">
        <v>15</v>
      </c>
      <c r="C203" s="2" t="s">
        <v>21</v>
      </c>
      <c r="D203" s="4">
        <v>64104.28</v>
      </c>
      <c r="E203" s="4">
        <v>6015.0</v>
      </c>
      <c r="F203" s="4">
        <v>650795.49</v>
      </c>
      <c r="G203" s="4">
        <v>88.7</v>
      </c>
      <c r="H203" s="8">
        <v>0.0</v>
      </c>
      <c r="I203" s="7">
        <f t="shared" si="1"/>
        <v>672731.935</v>
      </c>
      <c r="J203" s="8">
        <f t="shared" si="2"/>
        <v>-21936.44499</v>
      </c>
    </row>
    <row r="204">
      <c r="A204" s="2" t="s">
        <v>72</v>
      </c>
      <c r="B204" s="2" t="s">
        <v>15</v>
      </c>
      <c r="C204" s="2" t="s">
        <v>21</v>
      </c>
      <c r="D204" s="4">
        <v>22312.93</v>
      </c>
      <c r="E204" s="4">
        <v>5955.0</v>
      </c>
      <c r="F204" s="4">
        <v>598904.9</v>
      </c>
      <c r="G204" s="4">
        <v>84.2</v>
      </c>
      <c r="H204" s="8">
        <v>0.0</v>
      </c>
      <c r="I204" s="7">
        <f t="shared" si="1"/>
        <v>608376.4027</v>
      </c>
      <c r="J204" s="8">
        <f t="shared" si="2"/>
        <v>-9471.502748</v>
      </c>
    </row>
    <row r="205">
      <c r="A205" s="2" t="s">
        <v>72</v>
      </c>
      <c r="B205" s="2" t="s">
        <v>15</v>
      </c>
      <c r="C205" s="2" t="s">
        <v>21</v>
      </c>
      <c r="D205" s="4">
        <v>78111.97</v>
      </c>
      <c r="E205" s="4">
        <v>6389.0</v>
      </c>
      <c r="F205" s="4">
        <v>787715.51</v>
      </c>
      <c r="G205" s="4">
        <v>83.9</v>
      </c>
      <c r="H205" s="8">
        <v>0.0</v>
      </c>
      <c r="I205" s="7">
        <f t="shared" si="1"/>
        <v>687766.4795</v>
      </c>
      <c r="J205" s="8">
        <f t="shared" si="2"/>
        <v>99949.03052</v>
      </c>
    </row>
    <row r="206">
      <c r="A206" s="2" t="s">
        <v>73</v>
      </c>
      <c r="B206" s="2" t="s">
        <v>15</v>
      </c>
      <c r="C206" s="2" t="s">
        <v>28</v>
      </c>
      <c r="D206" s="4">
        <v>56413.83</v>
      </c>
      <c r="E206" s="4">
        <v>8303.0</v>
      </c>
      <c r="F206" s="4">
        <v>675917.63</v>
      </c>
      <c r="G206" s="4">
        <v>93.6</v>
      </c>
      <c r="H206" s="8">
        <v>0.0</v>
      </c>
      <c r="I206" s="7">
        <f t="shared" si="1"/>
        <v>755029.6497</v>
      </c>
      <c r="J206" s="8">
        <f t="shared" si="2"/>
        <v>-79112.01969</v>
      </c>
    </row>
    <row r="207">
      <c r="A207" s="2" t="s">
        <v>73</v>
      </c>
      <c r="B207" s="2" t="s">
        <v>15</v>
      </c>
      <c r="C207" s="2" t="s">
        <v>28</v>
      </c>
      <c r="D207" s="4">
        <v>37983.35</v>
      </c>
      <c r="E207" s="4">
        <v>9283.0</v>
      </c>
      <c r="F207" s="4">
        <v>671868.59</v>
      </c>
      <c r="G207" s="4">
        <v>83.2</v>
      </c>
      <c r="H207" s="8">
        <v>0.0</v>
      </c>
      <c r="I207" s="7">
        <f t="shared" si="1"/>
        <v>735915.977</v>
      </c>
      <c r="J207" s="8">
        <f t="shared" si="2"/>
        <v>-64047.38699</v>
      </c>
    </row>
    <row r="208">
      <c r="A208" s="2" t="s">
        <v>73</v>
      </c>
      <c r="B208" s="2" t="s">
        <v>15</v>
      </c>
      <c r="C208" s="2" t="s">
        <v>28</v>
      </c>
      <c r="D208" s="4">
        <v>92090.14</v>
      </c>
      <c r="E208" s="4">
        <v>9476.0</v>
      </c>
      <c r="F208" s="4">
        <v>825060.52</v>
      </c>
      <c r="G208" s="4">
        <v>94.3</v>
      </c>
      <c r="H208" s="8">
        <v>0.0</v>
      </c>
      <c r="I208" s="7">
        <f t="shared" si="1"/>
        <v>838541.6015</v>
      </c>
      <c r="J208" s="8">
        <f t="shared" si="2"/>
        <v>-13481.08154</v>
      </c>
    </row>
    <row r="209">
      <c r="A209" s="2" t="s">
        <v>73</v>
      </c>
      <c r="B209" s="2" t="s">
        <v>15</v>
      </c>
      <c r="C209" s="2" t="s">
        <v>28</v>
      </c>
      <c r="D209" s="4">
        <v>54300.87</v>
      </c>
      <c r="E209" s="4">
        <v>7875.0</v>
      </c>
      <c r="F209" s="4">
        <v>795464.47</v>
      </c>
      <c r="G209" s="4">
        <v>94.1</v>
      </c>
      <c r="H209" s="8">
        <v>0.0</v>
      </c>
      <c r="I209" s="7">
        <f t="shared" si="1"/>
        <v>739598.5547</v>
      </c>
      <c r="J209" s="8">
        <f t="shared" si="2"/>
        <v>55865.9153</v>
      </c>
    </row>
    <row r="210">
      <c r="A210" s="2" t="s">
        <v>74</v>
      </c>
      <c r="B210" s="2" t="s">
        <v>15</v>
      </c>
      <c r="C210" s="2" t="s">
        <v>18</v>
      </c>
      <c r="D210" s="4">
        <v>62949.7</v>
      </c>
      <c r="E210" s="4">
        <v>9458.0</v>
      </c>
      <c r="F210" s="4">
        <v>691288.19</v>
      </c>
      <c r="G210" s="4">
        <v>84.9</v>
      </c>
      <c r="H210" s="8">
        <v>0.0</v>
      </c>
      <c r="I210" s="7">
        <f t="shared" si="1"/>
        <v>776156.1016</v>
      </c>
      <c r="J210" s="8">
        <f t="shared" si="2"/>
        <v>-84867.91164</v>
      </c>
    </row>
    <row r="211">
      <c r="A211" s="2" t="s">
        <v>74</v>
      </c>
      <c r="B211" s="2" t="s">
        <v>15</v>
      </c>
      <c r="C211" s="2" t="s">
        <v>18</v>
      </c>
      <c r="D211" s="4">
        <v>107970.19</v>
      </c>
      <c r="E211" s="4">
        <v>12870.0</v>
      </c>
      <c r="F211" s="4">
        <v>946833.54</v>
      </c>
      <c r="G211" s="4">
        <v>91.7</v>
      </c>
      <c r="H211" s="8">
        <v>0.0</v>
      </c>
      <c r="I211" s="7">
        <f t="shared" si="1"/>
        <v>963870.3082</v>
      </c>
      <c r="J211" s="8">
        <f t="shared" si="2"/>
        <v>-17036.76816</v>
      </c>
    </row>
    <row r="212">
      <c r="A212" s="2" t="s">
        <v>74</v>
      </c>
      <c r="B212" s="2" t="s">
        <v>15</v>
      </c>
      <c r="C212" s="2" t="s">
        <v>18</v>
      </c>
      <c r="D212" s="4">
        <v>49405.75</v>
      </c>
      <c r="E212" s="4">
        <v>9752.0</v>
      </c>
      <c r="F212" s="4">
        <v>761963.23</v>
      </c>
      <c r="G212" s="4">
        <v>87.0</v>
      </c>
      <c r="H212" s="8">
        <v>0.0</v>
      </c>
      <c r="I212" s="7">
        <f t="shared" si="1"/>
        <v>776256.8564</v>
      </c>
      <c r="J212" s="8">
        <f t="shared" si="2"/>
        <v>-14293.62636</v>
      </c>
    </row>
    <row r="213">
      <c r="A213" s="2" t="s">
        <v>74</v>
      </c>
      <c r="B213" s="2" t="s">
        <v>15</v>
      </c>
      <c r="C213" s="2" t="s">
        <v>18</v>
      </c>
      <c r="D213" s="4">
        <v>63457.19</v>
      </c>
      <c r="E213" s="4">
        <v>10125.0</v>
      </c>
      <c r="F213" s="4">
        <v>810446.53</v>
      </c>
      <c r="G213" s="4">
        <v>87.0</v>
      </c>
      <c r="H213" s="8">
        <v>0.0</v>
      </c>
      <c r="I213" s="7">
        <f t="shared" si="1"/>
        <v>805346.7692</v>
      </c>
      <c r="J213" s="8">
        <f t="shared" si="2"/>
        <v>5099.76078</v>
      </c>
    </row>
    <row r="214">
      <c r="A214" s="2" t="s">
        <v>75</v>
      </c>
      <c r="B214" s="2" t="s">
        <v>27</v>
      </c>
      <c r="C214" s="2" t="s">
        <v>16</v>
      </c>
      <c r="D214" s="4">
        <v>35296.54</v>
      </c>
      <c r="E214" s="4">
        <v>9644.0</v>
      </c>
      <c r="F214" s="4">
        <v>752321.72</v>
      </c>
      <c r="G214" s="4">
        <v>88.0</v>
      </c>
      <c r="H214" s="8">
        <v>0.0</v>
      </c>
      <c r="I214" s="7">
        <f t="shared" si="1"/>
        <v>758943.6966</v>
      </c>
      <c r="J214" s="8">
        <f t="shared" si="2"/>
        <v>-6621.976607</v>
      </c>
    </row>
    <row r="215">
      <c r="A215" s="2" t="s">
        <v>75</v>
      </c>
      <c r="B215" s="2" t="s">
        <v>27</v>
      </c>
      <c r="C215" s="2" t="s">
        <v>16</v>
      </c>
      <c r="D215" s="4">
        <v>47391.09</v>
      </c>
      <c r="E215" s="4">
        <v>11224.0</v>
      </c>
      <c r="F215" s="4">
        <v>836908.24</v>
      </c>
      <c r="G215" s="4">
        <v>88.4</v>
      </c>
      <c r="H215" s="8">
        <v>0.0</v>
      </c>
      <c r="I215" s="7">
        <f t="shared" si="1"/>
        <v>827529.9181</v>
      </c>
      <c r="J215" s="8">
        <f t="shared" si="2"/>
        <v>9378.321937</v>
      </c>
    </row>
    <row r="216">
      <c r="A216" s="2" t="s">
        <v>75</v>
      </c>
      <c r="B216" s="2" t="s">
        <v>27</v>
      </c>
      <c r="C216" s="2" t="s">
        <v>16</v>
      </c>
      <c r="D216" s="4">
        <v>50887.46</v>
      </c>
      <c r="E216" s="4">
        <v>9505.0</v>
      </c>
      <c r="F216" s="4">
        <v>812152.6</v>
      </c>
      <c r="G216" s="4">
        <v>89.7</v>
      </c>
      <c r="H216" s="8">
        <v>0.0</v>
      </c>
      <c r="I216" s="7">
        <f t="shared" si="1"/>
        <v>777582.1597</v>
      </c>
      <c r="J216" s="8">
        <f t="shared" si="2"/>
        <v>34570.44026</v>
      </c>
    </row>
    <row r="217">
      <c r="A217" s="2" t="s">
        <v>75</v>
      </c>
      <c r="B217" s="2" t="s">
        <v>27</v>
      </c>
      <c r="C217" s="2" t="s">
        <v>16</v>
      </c>
      <c r="D217" s="4">
        <v>41819.45</v>
      </c>
      <c r="E217" s="4">
        <v>9412.0</v>
      </c>
      <c r="F217" s="4">
        <v>804975.5</v>
      </c>
      <c r="G217" s="4">
        <v>91.0</v>
      </c>
      <c r="H217" s="8">
        <v>0.0</v>
      </c>
      <c r="I217" s="7">
        <f t="shared" si="1"/>
        <v>767583.2185</v>
      </c>
      <c r="J217" s="8">
        <f t="shared" si="2"/>
        <v>37392.28146</v>
      </c>
    </row>
    <row r="218">
      <c r="A218" s="2" t="s">
        <v>76</v>
      </c>
      <c r="B218" s="2" t="s">
        <v>20</v>
      </c>
      <c r="C218" s="2" t="s">
        <v>21</v>
      </c>
      <c r="D218" s="4">
        <v>33987.33</v>
      </c>
      <c r="E218" s="4">
        <v>5014.0</v>
      </c>
      <c r="F218" s="4">
        <v>622892.42</v>
      </c>
      <c r="G218" s="4">
        <v>94.3</v>
      </c>
      <c r="H218" s="8">
        <v>1.0</v>
      </c>
      <c r="I218" s="7">
        <f t="shared" si="1"/>
        <v>618947.9892</v>
      </c>
      <c r="J218" s="8">
        <f t="shared" si="2"/>
        <v>3944.430811</v>
      </c>
    </row>
    <row r="219">
      <c r="A219" s="2" t="s">
        <v>76</v>
      </c>
      <c r="B219" s="2" t="s">
        <v>20</v>
      </c>
      <c r="C219" s="2" t="s">
        <v>21</v>
      </c>
      <c r="D219" s="4">
        <v>16451.85</v>
      </c>
      <c r="E219" s="4">
        <v>4678.0</v>
      </c>
      <c r="F219" s="4">
        <v>606278.3</v>
      </c>
      <c r="G219" s="4">
        <v>95.9</v>
      </c>
      <c r="H219" s="8">
        <v>1.0</v>
      </c>
      <c r="I219" s="7">
        <f t="shared" si="1"/>
        <v>591683.0763</v>
      </c>
      <c r="J219" s="8">
        <f t="shared" si="2"/>
        <v>14595.2237</v>
      </c>
    </row>
    <row r="220">
      <c r="A220" s="2" t="s">
        <v>76</v>
      </c>
      <c r="B220" s="2" t="s">
        <v>20</v>
      </c>
      <c r="C220" s="2" t="s">
        <v>21</v>
      </c>
      <c r="D220" s="4">
        <v>69180.54</v>
      </c>
      <c r="E220" s="4">
        <v>5394.0</v>
      </c>
      <c r="F220" s="4">
        <v>674289.1</v>
      </c>
      <c r="G220" s="4">
        <v>82.9</v>
      </c>
      <c r="H220" s="8">
        <v>1.0</v>
      </c>
      <c r="I220" s="7">
        <f t="shared" si="1"/>
        <v>639811.7564</v>
      </c>
      <c r="J220" s="8">
        <f t="shared" si="2"/>
        <v>34477.34355</v>
      </c>
    </row>
    <row r="221">
      <c r="A221" s="2" t="s">
        <v>76</v>
      </c>
      <c r="B221" s="2" t="s">
        <v>20</v>
      </c>
      <c r="C221" s="2" t="s">
        <v>21</v>
      </c>
      <c r="D221" s="4">
        <v>58785.33</v>
      </c>
      <c r="E221" s="4">
        <v>4467.0</v>
      </c>
      <c r="F221" s="4">
        <v>673348.56</v>
      </c>
      <c r="G221" s="4">
        <v>90.7</v>
      </c>
      <c r="H221" s="8">
        <v>1.0</v>
      </c>
      <c r="I221" s="7">
        <f t="shared" si="1"/>
        <v>619186.7734</v>
      </c>
      <c r="J221" s="8">
        <f t="shared" si="2"/>
        <v>54161.78657</v>
      </c>
    </row>
    <row r="222">
      <c r="A222" s="2" t="s">
        <v>77</v>
      </c>
      <c r="B222" s="2" t="s">
        <v>15</v>
      </c>
      <c r="C222" s="2" t="s">
        <v>18</v>
      </c>
      <c r="D222" s="4">
        <v>73540.99</v>
      </c>
      <c r="E222" s="4">
        <v>8773.0</v>
      </c>
      <c r="F222" s="4">
        <v>723531.4</v>
      </c>
      <c r="G222" s="4">
        <v>84.4</v>
      </c>
      <c r="H222" s="8">
        <v>0.0</v>
      </c>
      <c r="I222" s="7">
        <f t="shared" si="1"/>
        <v>764098.5876</v>
      </c>
      <c r="J222" s="8">
        <f t="shared" si="2"/>
        <v>-40567.18758</v>
      </c>
    </row>
    <row r="223">
      <c r="A223" s="2" t="s">
        <v>77</v>
      </c>
      <c r="B223" s="2" t="s">
        <v>15</v>
      </c>
      <c r="C223" s="2" t="s">
        <v>18</v>
      </c>
      <c r="D223" s="4">
        <v>66962.74</v>
      </c>
      <c r="E223" s="4">
        <v>7880.0</v>
      </c>
      <c r="F223" s="4">
        <v>732667.92</v>
      </c>
      <c r="G223" s="4">
        <v>90.4</v>
      </c>
      <c r="H223" s="8">
        <v>0.0</v>
      </c>
      <c r="I223" s="7">
        <f t="shared" si="1"/>
        <v>743845.4033</v>
      </c>
      <c r="J223" s="8">
        <f t="shared" si="2"/>
        <v>-11177.48329</v>
      </c>
    </row>
    <row r="224">
      <c r="A224" s="2" t="s">
        <v>77</v>
      </c>
      <c r="B224" s="2" t="s">
        <v>15</v>
      </c>
      <c r="C224" s="2" t="s">
        <v>18</v>
      </c>
      <c r="D224" s="4">
        <v>27194.64</v>
      </c>
      <c r="E224" s="4">
        <v>7404.0</v>
      </c>
      <c r="F224" s="4">
        <v>672670.54</v>
      </c>
      <c r="G224" s="4">
        <v>90.2</v>
      </c>
      <c r="H224" s="8">
        <v>0.0</v>
      </c>
      <c r="I224" s="7">
        <f t="shared" si="1"/>
        <v>680442.827</v>
      </c>
      <c r="J224" s="8">
        <f t="shared" si="2"/>
        <v>-7772.286993</v>
      </c>
    </row>
    <row r="225">
      <c r="A225" s="2" t="s">
        <v>77</v>
      </c>
      <c r="B225" s="2" t="s">
        <v>15</v>
      </c>
      <c r="C225" s="2" t="s">
        <v>18</v>
      </c>
      <c r="D225" s="4">
        <v>53367.73</v>
      </c>
      <c r="E225" s="4">
        <v>7291.0</v>
      </c>
      <c r="F225" s="4">
        <v>712219.81</v>
      </c>
      <c r="G225" s="4">
        <v>90.6</v>
      </c>
      <c r="H225" s="8">
        <v>0.0</v>
      </c>
      <c r="I225" s="7">
        <f t="shared" si="1"/>
        <v>708606.6288</v>
      </c>
      <c r="J225" s="8">
        <f t="shared" si="2"/>
        <v>3613.181199</v>
      </c>
    </row>
    <row r="226">
      <c r="A226" s="2" t="s">
        <v>78</v>
      </c>
      <c r="B226" s="2" t="s">
        <v>15</v>
      </c>
      <c r="C226" s="2" t="s">
        <v>28</v>
      </c>
      <c r="D226" s="4">
        <v>42932.02</v>
      </c>
      <c r="E226" s="4">
        <v>3872.0</v>
      </c>
      <c r="F226" s="4">
        <v>527681.56</v>
      </c>
      <c r="G226" s="4">
        <v>83.2</v>
      </c>
      <c r="H226" s="8">
        <v>0.0</v>
      </c>
      <c r="I226" s="7">
        <f t="shared" si="1"/>
        <v>559597.8207</v>
      </c>
      <c r="J226" s="8">
        <f t="shared" si="2"/>
        <v>-31916.26071</v>
      </c>
    </row>
    <row r="227">
      <c r="A227" s="2" t="s">
        <v>78</v>
      </c>
      <c r="B227" s="2" t="s">
        <v>15</v>
      </c>
      <c r="C227" s="2" t="s">
        <v>28</v>
      </c>
      <c r="D227" s="4">
        <v>57225.98</v>
      </c>
      <c r="E227" s="4">
        <v>2842.0</v>
      </c>
      <c r="F227" s="4">
        <v>536545.49</v>
      </c>
      <c r="G227" s="4">
        <v>79.5</v>
      </c>
      <c r="H227" s="8">
        <v>0.0</v>
      </c>
      <c r="I227" s="7">
        <f t="shared" si="1"/>
        <v>530925.7076</v>
      </c>
      <c r="J227" s="8">
        <f t="shared" si="2"/>
        <v>5619.782386</v>
      </c>
    </row>
    <row r="228">
      <c r="A228" s="2" t="s">
        <v>78</v>
      </c>
      <c r="B228" s="2" t="s">
        <v>15</v>
      </c>
      <c r="C228" s="2" t="s">
        <v>28</v>
      </c>
      <c r="D228" s="4">
        <v>39341.45</v>
      </c>
      <c r="E228" s="4">
        <v>1375.0</v>
      </c>
      <c r="F228" s="4">
        <v>529598.94</v>
      </c>
      <c r="G228" s="4">
        <v>95.0</v>
      </c>
      <c r="H228" s="8">
        <v>0.0</v>
      </c>
      <c r="I228" s="7">
        <f t="shared" si="1"/>
        <v>505829.5559</v>
      </c>
      <c r="J228" s="8">
        <f t="shared" si="2"/>
        <v>23769.38409</v>
      </c>
    </row>
    <row r="229">
      <c r="A229" s="2" t="s">
        <v>78</v>
      </c>
      <c r="B229" s="2" t="s">
        <v>15</v>
      </c>
      <c r="C229" s="2" t="s">
        <v>28</v>
      </c>
      <c r="D229" s="4">
        <v>68212.29</v>
      </c>
      <c r="E229" s="4">
        <v>4713.0</v>
      </c>
      <c r="F229" s="4">
        <v>641564.6</v>
      </c>
      <c r="G229" s="4">
        <v>82.6</v>
      </c>
      <c r="H229" s="8">
        <v>0.0</v>
      </c>
      <c r="I229" s="7">
        <f t="shared" si="1"/>
        <v>615899.4254</v>
      </c>
      <c r="J229" s="8">
        <f t="shared" si="2"/>
        <v>25665.1746</v>
      </c>
    </row>
    <row r="230">
      <c r="A230" s="2" t="s">
        <v>79</v>
      </c>
      <c r="B230" s="2" t="s">
        <v>15</v>
      </c>
      <c r="C230" s="2" t="s">
        <v>18</v>
      </c>
      <c r="D230" s="4">
        <v>37324.23</v>
      </c>
      <c r="E230" s="4">
        <v>5957.0</v>
      </c>
      <c r="F230" s="4">
        <v>570963.31</v>
      </c>
      <c r="G230" s="4">
        <v>85.9</v>
      </c>
      <c r="H230" s="8">
        <v>0.0</v>
      </c>
      <c r="I230" s="7">
        <f t="shared" si="1"/>
        <v>631079.0718</v>
      </c>
      <c r="J230" s="8">
        <f t="shared" si="2"/>
        <v>-60115.7618</v>
      </c>
    </row>
    <row r="231">
      <c r="A231" s="2" t="s">
        <v>79</v>
      </c>
      <c r="B231" s="2" t="s">
        <v>15</v>
      </c>
      <c r="C231" s="2" t="s">
        <v>18</v>
      </c>
      <c r="D231" s="4">
        <v>33173.95</v>
      </c>
      <c r="E231" s="4">
        <v>6545.0</v>
      </c>
      <c r="F231" s="4">
        <v>596969.27</v>
      </c>
      <c r="G231" s="4">
        <v>84.4</v>
      </c>
      <c r="H231" s="8">
        <v>0.0</v>
      </c>
      <c r="I231" s="7">
        <f t="shared" si="1"/>
        <v>641601.5632</v>
      </c>
      <c r="J231" s="8">
        <f t="shared" si="2"/>
        <v>-44632.29325</v>
      </c>
    </row>
    <row r="232">
      <c r="A232" s="2" t="s">
        <v>79</v>
      </c>
      <c r="B232" s="2" t="s">
        <v>15</v>
      </c>
      <c r="C232" s="2" t="s">
        <v>18</v>
      </c>
      <c r="D232" s="4">
        <v>25818.08</v>
      </c>
      <c r="E232" s="4">
        <v>5457.0</v>
      </c>
      <c r="F232" s="4">
        <v>647512.85</v>
      </c>
      <c r="G232" s="4">
        <v>95.4</v>
      </c>
      <c r="H232" s="8">
        <v>0.0</v>
      </c>
      <c r="I232" s="7">
        <f t="shared" si="1"/>
        <v>628491.8538</v>
      </c>
      <c r="J232" s="8">
        <f t="shared" si="2"/>
        <v>19020.99623</v>
      </c>
    </row>
    <row r="233">
      <c r="A233" s="2" t="s">
        <v>79</v>
      </c>
      <c r="B233" s="2" t="s">
        <v>15</v>
      </c>
      <c r="C233" s="2" t="s">
        <v>18</v>
      </c>
      <c r="D233" s="4">
        <v>113736.0</v>
      </c>
      <c r="E233" s="4">
        <v>8961.0</v>
      </c>
      <c r="F233" s="4">
        <v>870937.4</v>
      </c>
      <c r="G233" s="4">
        <v>86.2</v>
      </c>
      <c r="H233" s="8">
        <v>0.0</v>
      </c>
      <c r="I233" s="7">
        <f t="shared" si="1"/>
        <v>822988.2387</v>
      </c>
      <c r="J233" s="8">
        <f t="shared" si="2"/>
        <v>47949.16131</v>
      </c>
    </row>
    <row r="234">
      <c r="A234" s="2" t="s">
        <v>80</v>
      </c>
      <c r="B234" s="2" t="s">
        <v>27</v>
      </c>
      <c r="C234" s="2" t="s">
        <v>16</v>
      </c>
      <c r="D234" s="4">
        <v>47944.14</v>
      </c>
      <c r="E234" s="4">
        <v>6169.0</v>
      </c>
      <c r="F234" s="4">
        <v>670629.48</v>
      </c>
      <c r="G234" s="4">
        <v>92.2</v>
      </c>
      <c r="H234" s="8">
        <v>0.0</v>
      </c>
      <c r="I234" s="7">
        <f t="shared" si="1"/>
        <v>669135.9382</v>
      </c>
      <c r="J234" s="8">
        <f t="shared" si="2"/>
        <v>1493.541832</v>
      </c>
    </row>
    <row r="235">
      <c r="A235" s="2" t="s">
        <v>80</v>
      </c>
      <c r="B235" s="2" t="s">
        <v>27</v>
      </c>
      <c r="C235" s="2" t="s">
        <v>16</v>
      </c>
      <c r="D235" s="4">
        <v>62582.71</v>
      </c>
      <c r="E235" s="4">
        <v>5479.0</v>
      </c>
      <c r="F235" s="4">
        <v>640666.53</v>
      </c>
      <c r="G235" s="4">
        <v>81.2</v>
      </c>
      <c r="H235" s="8">
        <v>0.0</v>
      </c>
      <c r="I235" s="7">
        <f t="shared" si="1"/>
        <v>630965.3908</v>
      </c>
      <c r="J235" s="8">
        <f t="shared" si="2"/>
        <v>9701.139166</v>
      </c>
    </row>
    <row r="236">
      <c r="A236" s="2" t="s">
        <v>80</v>
      </c>
      <c r="B236" s="2" t="s">
        <v>27</v>
      </c>
      <c r="C236" s="2" t="s">
        <v>16</v>
      </c>
      <c r="D236" s="4">
        <v>47241.92</v>
      </c>
      <c r="E236" s="4">
        <v>4264.0</v>
      </c>
      <c r="F236" s="4">
        <v>658072.14</v>
      </c>
      <c r="G236" s="4">
        <v>95.3</v>
      </c>
      <c r="H236" s="8">
        <v>0.0</v>
      </c>
      <c r="I236" s="7">
        <f t="shared" si="1"/>
        <v>613250.8034</v>
      </c>
      <c r="J236" s="8">
        <f t="shared" si="2"/>
        <v>44821.33659</v>
      </c>
    </row>
    <row r="237">
      <c r="A237" s="2" t="s">
        <v>80</v>
      </c>
      <c r="B237" s="2" t="s">
        <v>27</v>
      </c>
      <c r="C237" s="2" t="s">
        <v>16</v>
      </c>
      <c r="D237" s="4">
        <v>61650.79</v>
      </c>
      <c r="E237" s="4">
        <v>5321.0</v>
      </c>
      <c r="F237" s="4">
        <v>723305.11</v>
      </c>
      <c r="G237" s="4">
        <v>89.2</v>
      </c>
      <c r="H237" s="8">
        <v>0.0</v>
      </c>
      <c r="I237" s="7">
        <f t="shared" si="1"/>
        <v>647946.2376</v>
      </c>
      <c r="J237" s="8">
        <f t="shared" si="2"/>
        <v>75358.87237</v>
      </c>
    </row>
    <row r="238">
      <c r="A238" s="2" t="s">
        <v>81</v>
      </c>
      <c r="B238" s="2" t="s">
        <v>27</v>
      </c>
      <c r="C238" s="2" t="s">
        <v>28</v>
      </c>
      <c r="D238" s="4">
        <v>46495.4</v>
      </c>
      <c r="E238" s="4">
        <v>9908.0</v>
      </c>
      <c r="F238" s="4">
        <v>721079.35</v>
      </c>
      <c r="G238" s="4">
        <v>89.4</v>
      </c>
      <c r="H238" s="8">
        <v>0.0</v>
      </c>
      <c r="I238" s="7">
        <f t="shared" si="1"/>
        <v>785102.199</v>
      </c>
      <c r="J238" s="8">
        <f t="shared" si="2"/>
        <v>-64022.84902</v>
      </c>
    </row>
    <row r="239">
      <c r="A239" s="2" t="s">
        <v>81</v>
      </c>
      <c r="B239" s="2" t="s">
        <v>27</v>
      </c>
      <c r="C239" s="2" t="s">
        <v>28</v>
      </c>
      <c r="D239" s="4">
        <v>72961.95</v>
      </c>
      <c r="E239" s="4">
        <v>9996.0</v>
      </c>
      <c r="F239" s="4">
        <v>810355.02</v>
      </c>
      <c r="G239" s="4">
        <v>89.1</v>
      </c>
      <c r="H239" s="8">
        <v>0.0</v>
      </c>
      <c r="I239" s="7">
        <f t="shared" si="1"/>
        <v>818330.0899</v>
      </c>
      <c r="J239" s="8">
        <f t="shared" si="2"/>
        <v>-7975.069884</v>
      </c>
    </row>
    <row r="240">
      <c r="A240" s="2" t="s">
        <v>81</v>
      </c>
      <c r="B240" s="2" t="s">
        <v>27</v>
      </c>
      <c r="C240" s="2" t="s">
        <v>28</v>
      </c>
      <c r="D240" s="4">
        <v>59060.05</v>
      </c>
      <c r="E240" s="4">
        <v>9702.0</v>
      </c>
      <c r="F240" s="4">
        <v>761919.25</v>
      </c>
      <c r="G240" s="4">
        <v>80.9</v>
      </c>
      <c r="H240" s="8">
        <v>0.0</v>
      </c>
      <c r="I240" s="7">
        <f t="shared" si="1"/>
        <v>768094.5683</v>
      </c>
      <c r="J240" s="8">
        <f t="shared" si="2"/>
        <v>-6175.318342</v>
      </c>
    </row>
    <row r="241">
      <c r="A241" s="2" t="s">
        <v>81</v>
      </c>
      <c r="B241" s="2" t="s">
        <v>27</v>
      </c>
      <c r="C241" s="2" t="s">
        <v>28</v>
      </c>
      <c r="D241" s="4">
        <v>26248.1</v>
      </c>
      <c r="E241" s="4">
        <v>9314.0</v>
      </c>
      <c r="F241" s="4">
        <v>737070.18</v>
      </c>
      <c r="G241" s="4">
        <v>83.7</v>
      </c>
      <c r="H241" s="8">
        <v>0.0</v>
      </c>
      <c r="I241" s="7">
        <f t="shared" si="1"/>
        <v>724612.9173</v>
      </c>
      <c r="J241" s="8">
        <f t="shared" si="2"/>
        <v>12457.26274</v>
      </c>
    </row>
    <row r="242">
      <c r="A242" s="2" t="s">
        <v>82</v>
      </c>
      <c r="B242" s="2" t="s">
        <v>24</v>
      </c>
      <c r="C242" s="2" t="s">
        <v>21</v>
      </c>
      <c r="D242" s="4">
        <v>53546.34</v>
      </c>
      <c r="E242" s="4">
        <v>8004.0</v>
      </c>
      <c r="F242" s="4">
        <v>763159.92</v>
      </c>
      <c r="G242" s="4">
        <v>95.2</v>
      </c>
      <c r="H242" s="8">
        <v>0.0</v>
      </c>
      <c r="I242" s="7">
        <f t="shared" si="1"/>
        <v>746269.9479</v>
      </c>
      <c r="J242" s="8">
        <f t="shared" si="2"/>
        <v>16889.97209</v>
      </c>
    </row>
    <row r="243">
      <c r="A243" s="2" t="s">
        <v>82</v>
      </c>
      <c r="B243" s="2" t="s">
        <v>24</v>
      </c>
      <c r="C243" s="2" t="s">
        <v>21</v>
      </c>
      <c r="D243" s="4">
        <v>70799.64</v>
      </c>
      <c r="E243" s="4">
        <v>10076.0</v>
      </c>
      <c r="F243" s="4">
        <v>828219.67</v>
      </c>
      <c r="G243" s="4">
        <v>84.8</v>
      </c>
      <c r="H243" s="8">
        <v>0.0</v>
      </c>
      <c r="I243" s="7">
        <f t="shared" si="1"/>
        <v>805903.31</v>
      </c>
      <c r="J243" s="8">
        <f t="shared" si="2"/>
        <v>22316.35996</v>
      </c>
    </row>
    <row r="244">
      <c r="A244" s="2" t="s">
        <v>82</v>
      </c>
      <c r="B244" s="2" t="s">
        <v>24</v>
      </c>
      <c r="C244" s="2" t="s">
        <v>21</v>
      </c>
      <c r="D244" s="4">
        <v>69900.12</v>
      </c>
      <c r="E244" s="4">
        <v>8055.0</v>
      </c>
      <c r="F244" s="4">
        <v>776992.93</v>
      </c>
      <c r="G244" s="4">
        <v>85.6</v>
      </c>
      <c r="H244" s="8">
        <v>0.0</v>
      </c>
      <c r="I244" s="7">
        <f t="shared" si="1"/>
        <v>739154.9784</v>
      </c>
      <c r="J244" s="8">
        <f t="shared" si="2"/>
        <v>37837.95164</v>
      </c>
    </row>
    <row r="245">
      <c r="A245" s="2" t="s">
        <v>82</v>
      </c>
      <c r="B245" s="2" t="s">
        <v>24</v>
      </c>
      <c r="C245" s="2" t="s">
        <v>21</v>
      </c>
      <c r="D245" s="4">
        <v>51781.6</v>
      </c>
      <c r="E245" s="4">
        <v>5648.0</v>
      </c>
      <c r="F245" s="4">
        <v>676337.41</v>
      </c>
      <c r="G245" s="4">
        <v>85.5</v>
      </c>
      <c r="H245" s="8">
        <v>0.0</v>
      </c>
      <c r="I245" s="7">
        <f t="shared" si="1"/>
        <v>636519.8461</v>
      </c>
      <c r="J245" s="8">
        <f t="shared" si="2"/>
        <v>39817.56389</v>
      </c>
    </row>
    <row r="246">
      <c r="A246" s="2" t="s">
        <v>83</v>
      </c>
      <c r="B246" s="2" t="s">
        <v>15</v>
      </c>
      <c r="C246" s="2" t="s">
        <v>18</v>
      </c>
      <c r="D246" s="4">
        <v>57390.04</v>
      </c>
      <c r="E246" s="4">
        <v>7374.0</v>
      </c>
      <c r="F246" s="4">
        <v>679230.86</v>
      </c>
      <c r="G246" s="4">
        <v>91.8</v>
      </c>
      <c r="H246" s="8">
        <v>0.0</v>
      </c>
      <c r="I246" s="7">
        <f t="shared" si="1"/>
        <v>719642.9332</v>
      </c>
      <c r="J246" s="8">
        <f t="shared" si="2"/>
        <v>-40412.07315</v>
      </c>
    </row>
    <row r="247">
      <c r="A247" s="2" t="s">
        <v>83</v>
      </c>
      <c r="B247" s="2" t="s">
        <v>15</v>
      </c>
      <c r="C247" s="2" t="s">
        <v>18</v>
      </c>
      <c r="D247" s="4">
        <v>21536.18</v>
      </c>
      <c r="E247" s="4">
        <v>8119.0</v>
      </c>
      <c r="F247" s="4">
        <v>679888.74</v>
      </c>
      <c r="G247" s="4">
        <v>90.4</v>
      </c>
      <c r="H247" s="8">
        <v>0.0</v>
      </c>
      <c r="I247" s="7">
        <f t="shared" si="1"/>
        <v>698437.2669</v>
      </c>
      <c r="J247" s="8">
        <f t="shared" si="2"/>
        <v>-18548.5269</v>
      </c>
    </row>
    <row r="248">
      <c r="A248" s="2" t="s">
        <v>83</v>
      </c>
      <c r="B248" s="2" t="s">
        <v>15</v>
      </c>
      <c r="C248" s="2" t="s">
        <v>18</v>
      </c>
      <c r="D248" s="4">
        <v>48060.78</v>
      </c>
      <c r="E248" s="4">
        <v>8733.0</v>
      </c>
      <c r="F248" s="4">
        <v>750471.34</v>
      </c>
      <c r="G248" s="4">
        <v>89.9</v>
      </c>
      <c r="H248" s="8">
        <v>0.0</v>
      </c>
      <c r="I248" s="7">
        <f t="shared" si="1"/>
        <v>748854.4045</v>
      </c>
      <c r="J248" s="8">
        <f t="shared" si="2"/>
        <v>1616.935545</v>
      </c>
    </row>
    <row r="249">
      <c r="A249" s="2" t="s">
        <v>83</v>
      </c>
      <c r="B249" s="2" t="s">
        <v>15</v>
      </c>
      <c r="C249" s="2" t="s">
        <v>18</v>
      </c>
      <c r="D249" s="4">
        <v>76942.2</v>
      </c>
      <c r="E249" s="4">
        <v>8934.0</v>
      </c>
      <c r="F249" s="4">
        <v>802001.68</v>
      </c>
      <c r="G249" s="4">
        <v>91.0</v>
      </c>
      <c r="H249" s="8">
        <v>0.0</v>
      </c>
      <c r="I249" s="7">
        <f t="shared" si="1"/>
        <v>792821.8704</v>
      </c>
      <c r="J249" s="8">
        <f t="shared" si="2"/>
        <v>9179.809648</v>
      </c>
    </row>
    <row r="250">
      <c r="A250" s="2" t="s">
        <v>84</v>
      </c>
      <c r="B250" s="2" t="s">
        <v>20</v>
      </c>
      <c r="C250" s="2" t="s">
        <v>18</v>
      </c>
      <c r="D250" s="4">
        <v>72932.55</v>
      </c>
      <c r="E250" s="4">
        <v>5765.0</v>
      </c>
      <c r="F250" s="4">
        <v>642751.42</v>
      </c>
      <c r="G250" s="4">
        <v>81.8</v>
      </c>
      <c r="H250" s="8">
        <v>1.0</v>
      </c>
      <c r="I250" s="7">
        <f t="shared" si="1"/>
        <v>653498.1255</v>
      </c>
      <c r="J250" s="8">
        <f t="shared" si="2"/>
        <v>-10746.70551</v>
      </c>
    </row>
    <row r="251">
      <c r="A251" s="2" t="s">
        <v>84</v>
      </c>
      <c r="B251" s="2" t="s">
        <v>20</v>
      </c>
      <c r="C251" s="2" t="s">
        <v>18</v>
      </c>
      <c r="D251" s="4">
        <v>38361.93</v>
      </c>
      <c r="E251" s="4">
        <v>6322.0</v>
      </c>
      <c r="F251" s="4">
        <v>647953.78</v>
      </c>
      <c r="G251" s="4">
        <v>88.4</v>
      </c>
      <c r="H251" s="8">
        <v>1.0</v>
      </c>
      <c r="I251" s="7">
        <f t="shared" si="1"/>
        <v>650870.034</v>
      </c>
      <c r="J251" s="8">
        <f t="shared" si="2"/>
        <v>-2916.254045</v>
      </c>
    </row>
    <row r="252">
      <c r="A252" s="2" t="s">
        <v>84</v>
      </c>
      <c r="B252" s="2" t="s">
        <v>20</v>
      </c>
      <c r="C252" s="2" t="s">
        <v>18</v>
      </c>
      <c r="D252" s="4">
        <v>40923.67</v>
      </c>
      <c r="E252" s="4">
        <v>3875.0</v>
      </c>
      <c r="F252" s="4">
        <v>606783.67</v>
      </c>
      <c r="G252" s="4">
        <v>96.1</v>
      </c>
      <c r="H252" s="8">
        <v>1.0</v>
      </c>
      <c r="I252" s="7">
        <f t="shared" si="1"/>
        <v>594033.8164</v>
      </c>
      <c r="J252" s="8">
        <f t="shared" si="2"/>
        <v>12749.85355</v>
      </c>
    </row>
    <row r="253">
      <c r="A253" s="2" t="s">
        <v>84</v>
      </c>
      <c r="B253" s="2" t="s">
        <v>20</v>
      </c>
      <c r="C253" s="2" t="s">
        <v>18</v>
      </c>
      <c r="D253" s="4">
        <v>97480.94</v>
      </c>
      <c r="E253" s="4">
        <v>6840.0</v>
      </c>
      <c r="F253" s="4">
        <v>729440.45</v>
      </c>
      <c r="G253" s="4">
        <v>79.2</v>
      </c>
      <c r="H253" s="8">
        <v>1.0</v>
      </c>
      <c r="I253" s="7">
        <f t="shared" si="1"/>
        <v>710966.2935</v>
      </c>
      <c r="J253" s="8">
        <f t="shared" si="2"/>
        <v>18474.15646</v>
      </c>
    </row>
    <row r="254">
      <c r="A254" s="2" t="s">
        <v>85</v>
      </c>
      <c r="B254" s="2" t="s">
        <v>24</v>
      </c>
      <c r="C254" s="2" t="s">
        <v>21</v>
      </c>
      <c r="D254" s="4">
        <v>36290.08</v>
      </c>
      <c r="E254" s="4">
        <v>5787.0</v>
      </c>
      <c r="F254" s="4">
        <v>612390.14</v>
      </c>
      <c r="G254" s="4">
        <v>88.3</v>
      </c>
      <c r="H254" s="8">
        <v>0.0</v>
      </c>
      <c r="I254" s="7">
        <f t="shared" si="1"/>
        <v>631158.5488</v>
      </c>
      <c r="J254" s="8">
        <f t="shared" si="2"/>
        <v>-18768.40885</v>
      </c>
    </row>
    <row r="255">
      <c r="A255" s="2" t="s">
        <v>85</v>
      </c>
      <c r="B255" s="2" t="s">
        <v>24</v>
      </c>
      <c r="C255" s="2" t="s">
        <v>21</v>
      </c>
      <c r="D255" s="4">
        <v>81801.8</v>
      </c>
      <c r="E255" s="4">
        <v>6782.0</v>
      </c>
      <c r="F255" s="4">
        <v>764949.0</v>
      </c>
      <c r="G255" s="4">
        <v>99.0</v>
      </c>
      <c r="H255" s="8">
        <v>0.0</v>
      </c>
      <c r="I255" s="7">
        <f t="shared" si="1"/>
        <v>749496.9588</v>
      </c>
      <c r="J255" s="8">
        <f t="shared" si="2"/>
        <v>15452.0412</v>
      </c>
    </row>
    <row r="256">
      <c r="A256" s="2" t="s">
        <v>85</v>
      </c>
      <c r="B256" s="2" t="s">
        <v>24</v>
      </c>
      <c r="C256" s="2" t="s">
        <v>21</v>
      </c>
      <c r="D256" s="4">
        <v>75412.74</v>
      </c>
      <c r="E256" s="4">
        <v>5641.0</v>
      </c>
      <c r="F256" s="4">
        <v>720079.54</v>
      </c>
      <c r="G256" s="4">
        <v>87.9</v>
      </c>
      <c r="H256" s="8">
        <v>0.0</v>
      </c>
      <c r="I256" s="7">
        <f t="shared" si="1"/>
        <v>671109.6247</v>
      </c>
      <c r="J256" s="8">
        <f t="shared" si="2"/>
        <v>48969.91534</v>
      </c>
    </row>
    <row r="257">
      <c r="A257" s="2" t="s">
        <v>85</v>
      </c>
      <c r="B257" s="2" t="s">
        <v>24</v>
      </c>
      <c r="C257" s="2" t="s">
        <v>21</v>
      </c>
      <c r="D257" s="4">
        <v>63582.11</v>
      </c>
      <c r="E257" s="4">
        <v>6856.0</v>
      </c>
      <c r="F257" s="4">
        <v>799046.94</v>
      </c>
      <c r="G257" s="4">
        <v>89.5</v>
      </c>
      <c r="H257" s="8">
        <v>0.0</v>
      </c>
      <c r="I257" s="7">
        <f t="shared" si="1"/>
        <v>702766.2351</v>
      </c>
      <c r="J257" s="8">
        <f t="shared" si="2"/>
        <v>96280.70486</v>
      </c>
    </row>
    <row r="258">
      <c r="A258" s="2" t="s">
        <v>86</v>
      </c>
      <c r="B258" s="2" t="s">
        <v>24</v>
      </c>
      <c r="C258" s="2" t="s">
        <v>28</v>
      </c>
      <c r="D258" s="4">
        <v>44189.34</v>
      </c>
      <c r="E258" s="4">
        <v>8634.0</v>
      </c>
      <c r="F258" s="4">
        <v>746115.59</v>
      </c>
      <c r="G258" s="4">
        <v>87.5</v>
      </c>
      <c r="H258" s="8">
        <v>0.0</v>
      </c>
      <c r="I258" s="7">
        <f t="shared" si="1"/>
        <v>733947.6601</v>
      </c>
      <c r="J258" s="8">
        <f t="shared" si="2"/>
        <v>12167.92992</v>
      </c>
    </row>
    <row r="259">
      <c r="A259" s="2" t="s">
        <v>86</v>
      </c>
      <c r="B259" s="2" t="s">
        <v>24</v>
      </c>
      <c r="C259" s="2" t="s">
        <v>28</v>
      </c>
      <c r="D259" s="4">
        <v>28670.43</v>
      </c>
      <c r="E259" s="4">
        <v>7574.0</v>
      </c>
      <c r="F259" s="4">
        <v>697888.09</v>
      </c>
      <c r="G259" s="4">
        <v>82.7</v>
      </c>
      <c r="H259" s="8">
        <v>0.0</v>
      </c>
      <c r="I259" s="7">
        <f t="shared" si="1"/>
        <v>665968.1292</v>
      </c>
      <c r="J259" s="8">
        <f t="shared" si="2"/>
        <v>31919.96078</v>
      </c>
    </row>
    <row r="260">
      <c r="A260" s="2" t="s">
        <v>86</v>
      </c>
      <c r="B260" s="2" t="s">
        <v>24</v>
      </c>
      <c r="C260" s="2" t="s">
        <v>28</v>
      </c>
      <c r="D260" s="4">
        <v>38397.82</v>
      </c>
      <c r="E260" s="4">
        <v>7836.0</v>
      </c>
      <c r="F260" s="4">
        <v>776110.32</v>
      </c>
      <c r="G260" s="4">
        <v>92.2</v>
      </c>
      <c r="H260" s="8">
        <v>0.0</v>
      </c>
      <c r="I260" s="7">
        <f t="shared" si="1"/>
        <v>714016.2028</v>
      </c>
      <c r="J260" s="8">
        <f t="shared" si="2"/>
        <v>62094.11723</v>
      </c>
    </row>
    <row r="261">
      <c r="A261" s="2" t="s">
        <v>86</v>
      </c>
      <c r="B261" s="2" t="s">
        <v>24</v>
      </c>
      <c r="C261" s="2" t="s">
        <v>28</v>
      </c>
      <c r="D261" s="4">
        <v>65272.58</v>
      </c>
      <c r="E261" s="4">
        <v>8165.0</v>
      </c>
      <c r="F261" s="4">
        <v>840108.12</v>
      </c>
      <c r="G261" s="4">
        <v>87.8</v>
      </c>
      <c r="H261" s="8">
        <v>0.0</v>
      </c>
      <c r="I261" s="7">
        <f t="shared" si="1"/>
        <v>743846.3958</v>
      </c>
      <c r="J261" s="8">
        <f t="shared" si="2"/>
        <v>96261.72417</v>
      </c>
    </row>
    <row r="262">
      <c r="A262" s="2" t="s">
        <v>87</v>
      </c>
      <c r="B262" s="2" t="s">
        <v>27</v>
      </c>
      <c r="C262" s="2" t="s">
        <v>18</v>
      </c>
      <c r="D262" s="4">
        <v>43288.2</v>
      </c>
      <c r="E262" s="4">
        <v>4783.0</v>
      </c>
      <c r="F262" s="4">
        <v>605751.33</v>
      </c>
      <c r="G262" s="4">
        <v>87.3</v>
      </c>
      <c r="H262" s="8">
        <v>0.0</v>
      </c>
      <c r="I262" s="7">
        <f t="shared" si="1"/>
        <v>602672.7758</v>
      </c>
      <c r="J262" s="8">
        <f t="shared" si="2"/>
        <v>3078.55424</v>
      </c>
    </row>
    <row r="263">
      <c r="A263" s="2" t="s">
        <v>87</v>
      </c>
      <c r="B263" s="2" t="s">
        <v>27</v>
      </c>
      <c r="C263" s="2" t="s">
        <v>18</v>
      </c>
      <c r="D263" s="4">
        <v>14519.37</v>
      </c>
      <c r="E263" s="4">
        <v>3047.0</v>
      </c>
      <c r="F263" s="4">
        <v>528852.62</v>
      </c>
      <c r="G263" s="4">
        <v>90.3</v>
      </c>
      <c r="H263" s="8">
        <v>0.0</v>
      </c>
      <c r="I263" s="7">
        <f t="shared" si="1"/>
        <v>519158.1235</v>
      </c>
      <c r="J263" s="8">
        <f t="shared" si="2"/>
        <v>9694.496454</v>
      </c>
    </row>
    <row r="264">
      <c r="A264" s="2" t="s">
        <v>87</v>
      </c>
      <c r="B264" s="2" t="s">
        <v>27</v>
      </c>
      <c r="C264" s="2" t="s">
        <v>18</v>
      </c>
      <c r="D264" s="4">
        <v>58688.26</v>
      </c>
      <c r="E264" s="4">
        <v>4022.0</v>
      </c>
      <c r="F264" s="4">
        <v>636613.23</v>
      </c>
      <c r="G264" s="4">
        <v>93.8</v>
      </c>
      <c r="H264" s="8">
        <v>0.0</v>
      </c>
      <c r="I264" s="7">
        <f t="shared" si="1"/>
        <v>614186.8831</v>
      </c>
      <c r="J264" s="8">
        <f t="shared" si="2"/>
        <v>22426.34687</v>
      </c>
    </row>
    <row r="265">
      <c r="A265" s="2" t="s">
        <v>87</v>
      </c>
      <c r="B265" s="2" t="s">
        <v>27</v>
      </c>
      <c r="C265" s="2" t="s">
        <v>18</v>
      </c>
      <c r="D265" s="4">
        <v>51450.55</v>
      </c>
      <c r="E265" s="4">
        <v>4902.0</v>
      </c>
      <c r="F265" s="4">
        <v>677640.65</v>
      </c>
      <c r="G265" s="4">
        <v>83.7</v>
      </c>
      <c r="H265" s="8">
        <v>0.0</v>
      </c>
      <c r="I265" s="7">
        <f t="shared" si="1"/>
        <v>605754.8996</v>
      </c>
      <c r="J265" s="8">
        <f t="shared" si="2"/>
        <v>71885.75041</v>
      </c>
    </row>
    <row r="266">
      <c r="A266" s="2" t="s">
        <v>88</v>
      </c>
      <c r="B266" s="2" t="s">
        <v>15</v>
      </c>
      <c r="C266" s="2" t="s">
        <v>18</v>
      </c>
      <c r="D266" s="4">
        <v>58981.91</v>
      </c>
      <c r="E266" s="4">
        <v>7324.0</v>
      </c>
      <c r="F266" s="4">
        <v>708985.19</v>
      </c>
      <c r="G266" s="4">
        <v>95.8</v>
      </c>
      <c r="H266" s="8">
        <v>0.0</v>
      </c>
      <c r="I266" s="7">
        <f t="shared" si="1"/>
        <v>731530.9712</v>
      </c>
      <c r="J266" s="8">
        <f t="shared" si="2"/>
        <v>-22545.78118</v>
      </c>
    </row>
    <row r="267">
      <c r="A267" s="2" t="s">
        <v>88</v>
      </c>
      <c r="B267" s="2" t="s">
        <v>15</v>
      </c>
      <c r="C267" s="2" t="s">
        <v>18</v>
      </c>
      <c r="D267" s="4">
        <v>56602.39</v>
      </c>
      <c r="E267" s="4">
        <v>7969.0</v>
      </c>
      <c r="F267" s="4">
        <v>745580.51</v>
      </c>
      <c r="G267" s="4">
        <v>88.3</v>
      </c>
      <c r="H267" s="8">
        <v>0.0</v>
      </c>
      <c r="I267" s="7">
        <f t="shared" si="1"/>
        <v>728508.863</v>
      </c>
      <c r="J267" s="8">
        <f t="shared" si="2"/>
        <v>17071.64696</v>
      </c>
    </row>
    <row r="268">
      <c r="A268" s="2" t="s">
        <v>88</v>
      </c>
      <c r="B268" s="2" t="s">
        <v>15</v>
      </c>
      <c r="C268" s="2" t="s">
        <v>18</v>
      </c>
      <c r="D268" s="4">
        <v>73454.54</v>
      </c>
      <c r="E268" s="4">
        <v>8129.0</v>
      </c>
      <c r="F268" s="4">
        <v>767792.94</v>
      </c>
      <c r="G268" s="4">
        <v>85.2</v>
      </c>
      <c r="H268" s="8">
        <v>0.0</v>
      </c>
      <c r="I268" s="7">
        <f t="shared" si="1"/>
        <v>744658.5844</v>
      </c>
      <c r="J268" s="8">
        <f t="shared" si="2"/>
        <v>23134.35556</v>
      </c>
    </row>
    <row r="269">
      <c r="A269" s="2" t="s">
        <v>88</v>
      </c>
      <c r="B269" s="2" t="s">
        <v>15</v>
      </c>
      <c r="C269" s="2" t="s">
        <v>18</v>
      </c>
      <c r="D269" s="4">
        <v>67722.29</v>
      </c>
      <c r="E269" s="4">
        <v>7240.0</v>
      </c>
      <c r="F269" s="4">
        <v>762328.31</v>
      </c>
      <c r="G269" s="4">
        <v>92.9</v>
      </c>
      <c r="H269" s="8">
        <v>0.0</v>
      </c>
      <c r="I269" s="7">
        <f t="shared" si="1"/>
        <v>730507.1609</v>
      </c>
      <c r="J269" s="8">
        <f t="shared" si="2"/>
        <v>31821.1491</v>
      </c>
    </row>
    <row r="270">
      <c r="A270" s="2" t="s">
        <v>89</v>
      </c>
      <c r="B270" s="2" t="s">
        <v>15</v>
      </c>
      <c r="C270" s="2" t="s">
        <v>28</v>
      </c>
      <c r="D270" s="4">
        <v>48752.92</v>
      </c>
      <c r="E270" s="4">
        <v>8052.0</v>
      </c>
      <c r="F270" s="4">
        <v>660633.99</v>
      </c>
      <c r="G270" s="4">
        <v>94.9</v>
      </c>
      <c r="H270" s="8">
        <v>0.0</v>
      </c>
      <c r="I270" s="7">
        <f t="shared" si="1"/>
        <v>741367.9519</v>
      </c>
      <c r="J270" s="8">
        <f t="shared" si="2"/>
        <v>-80733.96185</v>
      </c>
    </row>
    <row r="271">
      <c r="A271" s="2" t="s">
        <v>89</v>
      </c>
      <c r="B271" s="2" t="s">
        <v>15</v>
      </c>
      <c r="C271" s="2" t="s">
        <v>28</v>
      </c>
      <c r="D271" s="4">
        <v>29344.93</v>
      </c>
      <c r="E271" s="4">
        <v>7446.0</v>
      </c>
      <c r="F271" s="4">
        <v>593343.0</v>
      </c>
      <c r="G271" s="4">
        <v>86.2</v>
      </c>
      <c r="H271" s="8">
        <v>0.0</v>
      </c>
      <c r="I271" s="7">
        <f t="shared" si="1"/>
        <v>672688.8778</v>
      </c>
      <c r="J271" s="8">
        <f t="shared" si="2"/>
        <v>-79345.87782</v>
      </c>
    </row>
    <row r="272">
      <c r="A272" s="2" t="s">
        <v>89</v>
      </c>
      <c r="B272" s="2" t="s">
        <v>15</v>
      </c>
      <c r="C272" s="2" t="s">
        <v>28</v>
      </c>
      <c r="D272" s="4">
        <v>61995.3</v>
      </c>
      <c r="E272" s="4">
        <v>10192.0</v>
      </c>
      <c r="F272" s="4">
        <v>799756.46</v>
      </c>
      <c r="G272" s="4">
        <v>87.6</v>
      </c>
      <c r="H272" s="8">
        <v>0.0</v>
      </c>
      <c r="I272" s="7">
        <f t="shared" si="1"/>
        <v>807636.5712</v>
      </c>
      <c r="J272" s="8">
        <f t="shared" si="2"/>
        <v>-7880.11122</v>
      </c>
    </row>
    <row r="273">
      <c r="A273" s="2" t="s">
        <v>89</v>
      </c>
      <c r="B273" s="2" t="s">
        <v>15</v>
      </c>
      <c r="C273" s="2" t="s">
        <v>28</v>
      </c>
      <c r="D273" s="4">
        <v>23914.97</v>
      </c>
      <c r="E273" s="4">
        <v>8018.0</v>
      </c>
      <c r="F273" s="4">
        <v>739374.56</v>
      </c>
      <c r="G273" s="4">
        <v>89.0</v>
      </c>
      <c r="H273" s="8">
        <v>0.0</v>
      </c>
      <c r="I273" s="7">
        <f t="shared" si="1"/>
        <v>693742.3008</v>
      </c>
      <c r="J273" s="8">
        <f t="shared" si="2"/>
        <v>45632.25923</v>
      </c>
    </row>
    <row r="274">
      <c r="A274" s="2" t="s">
        <v>90</v>
      </c>
      <c r="B274" s="2" t="s">
        <v>27</v>
      </c>
      <c r="C274" s="2" t="s">
        <v>18</v>
      </c>
      <c r="D274" s="4">
        <v>47648.71</v>
      </c>
      <c r="E274" s="4">
        <v>5767.0</v>
      </c>
      <c r="F274" s="4">
        <v>635837.74</v>
      </c>
      <c r="G274" s="4">
        <v>89.8</v>
      </c>
      <c r="H274" s="8">
        <v>0.0</v>
      </c>
      <c r="I274" s="7">
        <f t="shared" si="1"/>
        <v>648237.6949</v>
      </c>
      <c r="J274" s="8">
        <f t="shared" si="2"/>
        <v>-12399.95491</v>
      </c>
    </row>
    <row r="275">
      <c r="A275" s="2" t="s">
        <v>90</v>
      </c>
      <c r="B275" s="2" t="s">
        <v>27</v>
      </c>
      <c r="C275" s="2" t="s">
        <v>18</v>
      </c>
      <c r="D275" s="4">
        <v>50532.17</v>
      </c>
      <c r="E275" s="4">
        <v>5689.0</v>
      </c>
      <c r="F275" s="4">
        <v>645039.97</v>
      </c>
      <c r="G275" s="4">
        <v>85.6</v>
      </c>
      <c r="H275" s="8">
        <v>0.0</v>
      </c>
      <c r="I275" s="7">
        <f t="shared" si="1"/>
        <v>636722.2104</v>
      </c>
      <c r="J275" s="8">
        <f t="shared" si="2"/>
        <v>8317.759579</v>
      </c>
    </row>
    <row r="276">
      <c r="A276" s="2" t="s">
        <v>90</v>
      </c>
      <c r="B276" s="2" t="s">
        <v>27</v>
      </c>
      <c r="C276" s="2" t="s">
        <v>18</v>
      </c>
      <c r="D276" s="4">
        <v>17562.57</v>
      </c>
      <c r="E276" s="4">
        <v>3326.0</v>
      </c>
      <c r="F276" s="4">
        <v>561597.33</v>
      </c>
      <c r="G276" s="4">
        <v>88.1</v>
      </c>
      <c r="H276" s="8">
        <v>0.0</v>
      </c>
      <c r="I276" s="7">
        <f t="shared" si="1"/>
        <v>525696.6629</v>
      </c>
      <c r="J276" s="8">
        <f t="shared" si="2"/>
        <v>35900.6671</v>
      </c>
    </row>
    <row r="277">
      <c r="A277" s="2" t="s">
        <v>90</v>
      </c>
      <c r="B277" s="2" t="s">
        <v>27</v>
      </c>
      <c r="C277" s="2" t="s">
        <v>18</v>
      </c>
      <c r="D277" s="4">
        <v>38297.58</v>
      </c>
      <c r="E277" s="4">
        <v>5893.0</v>
      </c>
      <c r="F277" s="4">
        <v>686737.87</v>
      </c>
      <c r="G277" s="4">
        <v>77.6</v>
      </c>
      <c r="H277" s="8">
        <v>0.0</v>
      </c>
      <c r="I277" s="7">
        <f t="shared" si="1"/>
        <v>605796.8227</v>
      </c>
      <c r="J277" s="8">
        <f t="shared" si="2"/>
        <v>80941.04729</v>
      </c>
    </row>
    <row r="278">
      <c r="A278" s="2" t="s">
        <v>91</v>
      </c>
      <c r="B278" s="2" t="s">
        <v>24</v>
      </c>
      <c r="C278" s="2" t="s">
        <v>16</v>
      </c>
      <c r="D278" s="4">
        <v>61784.11</v>
      </c>
      <c r="E278" s="4">
        <v>8564.0</v>
      </c>
      <c r="F278" s="4">
        <v>673076.34</v>
      </c>
      <c r="G278" s="4">
        <v>87.4</v>
      </c>
      <c r="H278" s="8">
        <v>0.0</v>
      </c>
      <c r="I278" s="7">
        <f t="shared" si="1"/>
        <v>752002.5904</v>
      </c>
      <c r="J278" s="8">
        <f t="shared" si="2"/>
        <v>-78926.25042</v>
      </c>
    </row>
    <row r="279">
      <c r="A279" s="2" t="s">
        <v>91</v>
      </c>
      <c r="B279" s="2" t="s">
        <v>24</v>
      </c>
      <c r="C279" s="2" t="s">
        <v>16</v>
      </c>
      <c r="D279" s="4">
        <v>70284.06</v>
      </c>
      <c r="E279" s="4">
        <v>9109.0</v>
      </c>
      <c r="F279" s="4">
        <v>761122.42</v>
      </c>
      <c r="G279" s="4">
        <v>87.0</v>
      </c>
      <c r="H279" s="8">
        <v>0.0</v>
      </c>
      <c r="I279" s="7">
        <f t="shared" si="1"/>
        <v>779180.0412</v>
      </c>
      <c r="J279" s="8">
        <f t="shared" si="2"/>
        <v>-18057.62117</v>
      </c>
    </row>
    <row r="280">
      <c r="A280" s="2" t="s">
        <v>91</v>
      </c>
      <c r="B280" s="2" t="s">
        <v>24</v>
      </c>
      <c r="C280" s="2" t="s">
        <v>16</v>
      </c>
      <c r="D280" s="4">
        <v>48609.41</v>
      </c>
      <c r="E280" s="4">
        <v>9324.0</v>
      </c>
      <c r="F280" s="4">
        <v>756619.77</v>
      </c>
      <c r="G280" s="4">
        <v>86.5</v>
      </c>
      <c r="H280" s="8">
        <v>0.0</v>
      </c>
      <c r="I280" s="7">
        <f t="shared" si="1"/>
        <v>759450.5315</v>
      </c>
      <c r="J280" s="8">
        <f t="shared" si="2"/>
        <v>-2830.761488</v>
      </c>
    </row>
    <row r="281">
      <c r="A281" s="2" t="s">
        <v>91</v>
      </c>
      <c r="B281" s="2" t="s">
        <v>24</v>
      </c>
      <c r="C281" s="2" t="s">
        <v>16</v>
      </c>
      <c r="D281" s="4">
        <v>36832.33</v>
      </c>
      <c r="E281" s="4">
        <v>8001.0</v>
      </c>
      <c r="F281" s="4">
        <v>738548.42</v>
      </c>
      <c r="G281" s="4">
        <v>88.7</v>
      </c>
      <c r="H281" s="8">
        <v>0.0</v>
      </c>
      <c r="I281" s="7">
        <f t="shared" si="1"/>
        <v>707492.4988</v>
      </c>
      <c r="J281" s="8">
        <f t="shared" si="2"/>
        <v>31055.92123</v>
      </c>
    </row>
    <row r="282">
      <c r="A282" s="2" t="s">
        <v>92</v>
      </c>
      <c r="B282" s="2" t="s">
        <v>24</v>
      </c>
      <c r="C282" s="2" t="s">
        <v>18</v>
      </c>
      <c r="D282" s="4">
        <v>45940.39</v>
      </c>
      <c r="E282" s="4">
        <v>4022.0</v>
      </c>
      <c r="F282" s="4">
        <v>524899.57</v>
      </c>
      <c r="G282" s="4">
        <v>83.0</v>
      </c>
      <c r="H282" s="8">
        <v>0.0</v>
      </c>
      <c r="I282" s="7">
        <f t="shared" si="1"/>
        <v>567602.0485</v>
      </c>
      <c r="J282" s="8">
        <f t="shared" si="2"/>
        <v>-42702.47851</v>
      </c>
    </row>
    <row r="283">
      <c r="A283" s="2" t="s">
        <v>92</v>
      </c>
      <c r="B283" s="2" t="s">
        <v>24</v>
      </c>
      <c r="C283" s="2" t="s">
        <v>18</v>
      </c>
      <c r="D283" s="4">
        <v>34771.26</v>
      </c>
      <c r="E283" s="4">
        <v>4355.0</v>
      </c>
      <c r="F283" s="4">
        <v>555557.77</v>
      </c>
      <c r="G283" s="4">
        <v>87.9</v>
      </c>
      <c r="H283" s="8">
        <v>0.0</v>
      </c>
      <c r="I283" s="7">
        <f t="shared" si="1"/>
        <v>579998.6015</v>
      </c>
      <c r="J283" s="8">
        <f t="shared" si="2"/>
        <v>-24440.83155</v>
      </c>
    </row>
    <row r="284">
      <c r="A284" s="2" t="s">
        <v>92</v>
      </c>
      <c r="B284" s="2" t="s">
        <v>24</v>
      </c>
      <c r="C284" s="2" t="s">
        <v>18</v>
      </c>
      <c r="D284" s="4">
        <v>18599.21</v>
      </c>
      <c r="E284" s="4">
        <v>3027.0</v>
      </c>
      <c r="F284" s="4">
        <v>497439.82</v>
      </c>
      <c r="G284" s="4">
        <v>80.9</v>
      </c>
      <c r="H284" s="8">
        <v>0.0</v>
      </c>
      <c r="I284" s="7">
        <f t="shared" si="1"/>
        <v>495795.4225</v>
      </c>
      <c r="J284" s="8">
        <f t="shared" si="2"/>
        <v>1644.397494</v>
      </c>
    </row>
    <row r="285">
      <c r="A285" s="2" t="s">
        <v>92</v>
      </c>
      <c r="B285" s="2" t="s">
        <v>24</v>
      </c>
      <c r="C285" s="2" t="s">
        <v>18</v>
      </c>
      <c r="D285" s="4">
        <v>66104.19</v>
      </c>
      <c r="E285" s="4">
        <v>5745.0</v>
      </c>
      <c r="F285" s="4">
        <v>714083.68</v>
      </c>
      <c r="G285" s="4">
        <v>95.8</v>
      </c>
      <c r="H285" s="8">
        <v>0.0</v>
      </c>
      <c r="I285" s="7">
        <f t="shared" si="1"/>
        <v>686760.5453</v>
      </c>
      <c r="J285" s="8">
        <f t="shared" si="2"/>
        <v>27323.13466</v>
      </c>
    </row>
    <row r="286">
      <c r="A286" s="2" t="s">
        <v>93</v>
      </c>
      <c r="B286" s="2" t="s">
        <v>27</v>
      </c>
      <c r="C286" s="2" t="s">
        <v>16</v>
      </c>
      <c r="D286" s="4">
        <v>40928.69</v>
      </c>
      <c r="E286" s="4">
        <v>4094.0</v>
      </c>
      <c r="F286" s="4">
        <v>548103.7</v>
      </c>
      <c r="G286" s="4">
        <v>82.4</v>
      </c>
      <c r="H286" s="8">
        <v>0.0</v>
      </c>
      <c r="I286" s="7">
        <f t="shared" si="1"/>
        <v>562373.7277</v>
      </c>
      <c r="J286" s="8">
        <f t="shared" si="2"/>
        <v>-14270.02766</v>
      </c>
    </row>
    <row r="287">
      <c r="A287" s="2" t="s">
        <v>93</v>
      </c>
      <c r="B287" s="2" t="s">
        <v>27</v>
      </c>
      <c r="C287" s="2" t="s">
        <v>16</v>
      </c>
      <c r="D287" s="4">
        <v>60183.06</v>
      </c>
      <c r="E287" s="4">
        <v>5562.0</v>
      </c>
      <c r="F287" s="4">
        <v>636775.66</v>
      </c>
      <c r="G287" s="4">
        <v>86.3</v>
      </c>
      <c r="H287" s="8">
        <v>0.0</v>
      </c>
      <c r="I287" s="7">
        <f t="shared" si="1"/>
        <v>645850.5188</v>
      </c>
      <c r="J287" s="8">
        <f t="shared" si="2"/>
        <v>-9074.858828</v>
      </c>
    </row>
    <row r="288">
      <c r="A288" s="2" t="s">
        <v>93</v>
      </c>
      <c r="B288" s="2" t="s">
        <v>27</v>
      </c>
      <c r="C288" s="2" t="s">
        <v>16</v>
      </c>
      <c r="D288" s="4">
        <v>74539.14</v>
      </c>
      <c r="E288" s="4">
        <v>4487.0</v>
      </c>
      <c r="F288" s="4">
        <v>633009.53</v>
      </c>
      <c r="G288" s="4">
        <v>90.4</v>
      </c>
      <c r="H288" s="8">
        <v>0.0</v>
      </c>
      <c r="I288" s="7">
        <f t="shared" si="1"/>
        <v>638547.7616</v>
      </c>
      <c r="J288" s="8">
        <f t="shared" si="2"/>
        <v>-5538.231602</v>
      </c>
    </row>
    <row r="289">
      <c r="A289" s="2" t="s">
        <v>93</v>
      </c>
      <c r="B289" s="2" t="s">
        <v>27</v>
      </c>
      <c r="C289" s="2" t="s">
        <v>16</v>
      </c>
      <c r="D289" s="4">
        <v>55371.97</v>
      </c>
      <c r="E289" s="4">
        <v>4162.0</v>
      </c>
      <c r="F289" s="4">
        <v>609949.0</v>
      </c>
      <c r="G289" s="4">
        <v>92.0</v>
      </c>
      <c r="H289" s="8">
        <v>0.0</v>
      </c>
      <c r="I289" s="7">
        <f t="shared" si="1"/>
        <v>609733.1222</v>
      </c>
      <c r="J289" s="8">
        <f t="shared" si="2"/>
        <v>215.8777979</v>
      </c>
    </row>
    <row r="290">
      <c r="A290" s="2" t="s">
        <v>94</v>
      </c>
      <c r="B290" s="2" t="s">
        <v>15</v>
      </c>
      <c r="C290" s="2" t="s">
        <v>16</v>
      </c>
      <c r="D290" s="4">
        <v>68909.26</v>
      </c>
      <c r="E290" s="4">
        <v>7794.0</v>
      </c>
      <c r="F290" s="4">
        <v>696261.49</v>
      </c>
      <c r="G290" s="4">
        <v>89.0</v>
      </c>
      <c r="H290" s="8">
        <v>0.0</v>
      </c>
      <c r="I290" s="7">
        <f t="shared" si="1"/>
        <v>739146.7067</v>
      </c>
      <c r="J290" s="8">
        <f t="shared" si="2"/>
        <v>-42885.21674</v>
      </c>
    </row>
    <row r="291">
      <c r="A291" s="2" t="s">
        <v>94</v>
      </c>
      <c r="B291" s="2" t="s">
        <v>15</v>
      </c>
      <c r="C291" s="2" t="s">
        <v>16</v>
      </c>
      <c r="D291" s="4">
        <v>54080.91</v>
      </c>
      <c r="E291" s="4">
        <v>7083.0</v>
      </c>
      <c r="F291" s="4">
        <v>702068.92</v>
      </c>
      <c r="G291" s="4">
        <v>97.0</v>
      </c>
      <c r="H291" s="8">
        <v>0.0</v>
      </c>
      <c r="I291" s="7">
        <f t="shared" si="1"/>
        <v>721161.0083</v>
      </c>
      <c r="J291" s="8">
        <f t="shared" si="2"/>
        <v>-19092.08826</v>
      </c>
    </row>
    <row r="292">
      <c r="A292" s="2" t="s">
        <v>94</v>
      </c>
      <c r="B292" s="2" t="s">
        <v>15</v>
      </c>
      <c r="C292" s="2" t="s">
        <v>16</v>
      </c>
      <c r="D292" s="4">
        <v>70012.41</v>
      </c>
      <c r="E292" s="4">
        <v>8484.0</v>
      </c>
      <c r="F292" s="4">
        <v>729424.42</v>
      </c>
      <c r="G292" s="4">
        <v>72.9</v>
      </c>
      <c r="H292" s="8">
        <v>0.0</v>
      </c>
      <c r="I292" s="7">
        <f t="shared" si="1"/>
        <v>716586.7862</v>
      </c>
      <c r="J292" s="8">
        <f t="shared" si="2"/>
        <v>12837.63385</v>
      </c>
    </row>
    <row r="293">
      <c r="A293" s="2" t="s">
        <v>94</v>
      </c>
      <c r="B293" s="2" t="s">
        <v>15</v>
      </c>
      <c r="C293" s="2" t="s">
        <v>16</v>
      </c>
      <c r="D293" s="4">
        <v>56737.3</v>
      </c>
      <c r="E293" s="4">
        <v>8300.0</v>
      </c>
      <c r="F293" s="4">
        <v>813316.71</v>
      </c>
      <c r="G293" s="4">
        <v>83.2</v>
      </c>
      <c r="H293" s="8">
        <v>0.0</v>
      </c>
      <c r="I293" s="7">
        <f t="shared" si="1"/>
        <v>724894.6011</v>
      </c>
      <c r="J293" s="8">
        <f t="shared" si="2"/>
        <v>88422.10888</v>
      </c>
    </row>
    <row r="294">
      <c r="A294" s="2" t="s">
        <v>95</v>
      </c>
      <c r="B294" s="2" t="s">
        <v>27</v>
      </c>
      <c r="C294" s="2" t="s">
        <v>18</v>
      </c>
      <c r="D294" s="4">
        <v>51996.32</v>
      </c>
      <c r="E294" s="4">
        <v>3834.0</v>
      </c>
      <c r="F294" s="4">
        <v>546223.7</v>
      </c>
      <c r="G294" s="4">
        <v>86.7</v>
      </c>
      <c r="H294" s="8">
        <v>0.0</v>
      </c>
      <c r="I294" s="7">
        <f t="shared" si="1"/>
        <v>579220.3169</v>
      </c>
      <c r="J294" s="8">
        <f t="shared" si="2"/>
        <v>-32996.61691</v>
      </c>
    </row>
    <row r="295">
      <c r="A295" s="2" t="s">
        <v>95</v>
      </c>
      <c r="B295" s="2" t="s">
        <v>27</v>
      </c>
      <c r="C295" s="2" t="s">
        <v>18</v>
      </c>
      <c r="D295" s="4">
        <v>59825.51</v>
      </c>
      <c r="E295" s="4">
        <v>1231.0</v>
      </c>
      <c r="F295" s="4">
        <v>498970.32</v>
      </c>
      <c r="G295" s="4">
        <v>84.8</v>
      </c>
      <c r="H295" s="8">
        <v>0.0</v>
      </c>
      <c r="I295" s="7">
        <f t="shared" si="1"/>
        <v>495256.0194</v>
      </c>
      <c r="J295" s="8">
        <f t="shared" si="2"/>
        <v>3714.300599</v>
      </c>
    </row>
    <row r="296">
      <c r="A296" s="2" t="s">
        <v>95</v>
      </c>
      <c r="B296" s="2" t="s">
        <v>27</v>
      </c>
      <c r="C296" s="2" t="s">
        <v>18</v>
      </c>
      <c r="D296" s="4">
        <v>40102.88</v>
      </c>
      <c r="E296" s="4">
        <v>2358.0</v>
      </c>
      <c r="F296" s="4">
        <v>533121.26</v>
      </c>
      <c r="G296" s="4">
        <v>88.7</v>
      </c>
      <c r="H296" s="8">
        <v>0.0</v>
      </c>
      <c r="I296" s="7">
        <f t="shared" si="1"/>
        <v>521390.2891</v>
      </c>
      <c r="J296" s="8">
        <f t="shared" si="2"/>
        <v>11730.97093</v>
      </c>
    </row>
    <row r="297">
      <c r="A297" s="2" t="s">
        <v>95</v>
      </c>
      <c r="B297" s="2" t="s">
        <v>27</v>
      </c>
      <c r="C297" s="2" t="s">
        <v>18</v>
      </c>
      <c r="D297" s="4">
        <v>27398.28</v>
      </c>
      <c r="E297" s="4">
        <v>1723.0</v>
      </c>
      <c r="F297" s="4">
        <v>487738.26</v>
      </c>
      <c r="G297" s="4">
        <v>81.0</v>
      </c>
      <c r="H297" s="8">
        <v>0.0</v>
      </c>
      <c r="I297" s="7">
        <f t="shared" si="1"/>
        <v>462547.3694</v>
      </c>
      <c r="J297" s="8">
        <f t="shared" si="2"/>
        <v>25190.8906</v>
      </c>
    </row>
    <row r="298">
      <c r="A298" s="2" t="s">
        <v>96</v>
      </c>
      <c r="B298" s="2" t="s">
        <v>27</v>
      </c>
      <c r="C298" s="2" t="s">
        <v>18</v>
      </c>
      <c r="D298" s="4">
        <v>24362.98</v>
      </c>
      <c r="E298" s="4">
        <v>1462.0</v>
      </c>
      <c r="F298" s="4">
        <v>401582.58</v>
      </c>
      <c r="G298" s="4">
        <v>89.3</v>
      </c>
      <c r="H298" s="8">
        <v>0.0</v>
      </c>
      <c r="I298" s="7">
        <f t="shared" si="1"/>
        <v>474463.4146</v>
      </c>
      <c r="J298" s="8">
        <f t="shared" si="2"/>
        <v>-72880.83464</v>
      </c>
    </row>
    <row r="299">
      <c r="A299" s="2" t="s">
        <v>96</v>
      </c>
      <c r="B299" s="2" t="s">
        <v>27</v>
      </c>
      <c r="C299" s="2" t="s">
        <v>18</v>
      </c>
      <c r="D299" s="4">
        <v>46174.7</v>
      </c>
      <c r="E299" s="4">
        <v>4898.0</v>
      </c>
      <c r="F299" s="4">
        <v>599017.33</v>
      </c>
      <c r="G299" s="4">
        <v>91.7</v>
      </c>
      <c r="H299" s="8">
        <v>0.0</v>
      </c>
      <c r="I299" s="7">
        <f t="shared" si="1"/>
        <v>622808.1061</v>
      </c>
      <c r="J299" s="8">
        <f t="shared" si="2"/>
        <v>-23790.7761</v>
      </c>
    </row>
    <row r="300">
      <c r="A300" s="2" t="s">
        <v>96</v>
      </c>
      <c r="B300" s="2" t="s">
        <v>27</v>
      </c>
      <c r="C300" s="2" t="s">
        <v>18</v>
      </c>
      <c r="D300" s="4">
        <v>55599.56</v>
      </c>
      <c r="E300" s="4">
        <v>5896.0</v>
      </c>
      <c r="F300" s="4">
        <v>668459.37</v>
      </c>
      <c r="G300" s="4">
        <v>93.1</v>
      </c>
      <c r="H300" s="8">
        <v>0.0</v>
      </c>
      <c r="I300" s="7">
        <f t="shared" si="1"/>
        <v>671586.5378</v>
      </c>
      <c r="J300" s="8">
        <f t="shared" si="2"/>
        <v>-3127.167805</v>
      </c>
    </row>
    <row r="301">
      <c r="A301" s="2" t="s">
        <v>96</v>
      </c>
      <c r="B301" s="2" t="s">
        <v>27</v>
      </c>
      <c r="C301" s="2" t="s">
        <v>18</v>
      </c>
      <c r="D301" s="4">
        <v>55477.61</v>
      </c>
      <c r="E301" s="4">
        <v>5903.0</v>
      </c>
      <c r="F301" s="4">
        <v>763162.45</v>
      </c>
      <c r="G301" s="4">
        <v>96.2</v>
      </c>
      <c r="H301" s="8">
        <v>0.0</v>
      </c>
      <c r="I301" s="7">
        <f t="shared" si="1"/>
        <v>680744.5862</v>
      </c>
      <c r="J301" s="8">
        <f t="shared" si="2"/>
        <v>82417.86384</v>
      </c>
    </row>
    <row r="302">
      <c r="A302" s="2" t="s">
        <v>97</v>
      </c>
      <c r="B302" s="2" t="s">
        <v>20</v>
      </c>
      <c r="C302" s="2" t="s">
        <v>28</v>
      </c>
      <c r="D302" s="4">
        <v>40647.67</v>
      </c>
      <c r="E302" s="4">
        <v>8252.0</v>
      </c>
      <c r="F302" s="4">
        <v>703812.99</v>
      </c>
      <c r="G302" s="4">
        <v>88.2</v>
      </c>
      <c r="H302" s="8">
        <v>1.0</v>
      </c>
      <c r="I302" s="7">
        <f t="shared" si="1"/>
        <v>717941.0397</v>
      </c>
      <c r="J302" s="8">
        <f t="shared" si="2"/>
        <v>-14128.04965</v>
      </c>
    </row>
    <row r="303">
      <c r="A303" s="2" t="s">
        <v>97</v>
      </c>
      <c r="B303" s="2" t="s">
        <v>20</v>
      </c>
      <c r="C303" s="2" t="s">
        <v>28</v>
      </c>
      <c r="D303" s="4">
        <v>52843.75</v>
      </c>
      <c r="E303" s="4">
        <v>8268.0</v>
      </c>
      <c r="F303" s="4">
        <v>730890.01</v>
      </c>
      <c r="G303" s="4">
        <v>87.3</v>
      </c>
      <c r="H303" s="8">
        <v>1.0</v>
      </c>
      <c r="I303" s="7">
        <f t="shared" si="1"/>
        <v>730198.6403</v>
      </c>
      <c r="J303" s="8">
        <f t="shared" si="2"/>
        <v>691.3697252</v>
      </c>
    </row>
    <row r="304">
      <c r="A304" s="2" t="s">
        <v>97</v>
      </c>
      <c r="B304" s="2" t="s">
        <v>20</v>
      </c>
      <c r="C304" s="2" t="s">
        <v>28</v>
      </c>
      <c r="D304" s="4">
        <v>63986.98</v>
      </c>
      <c r="E304" s="4">
        <v>7989.0</v>
      </c>
      <c r="F304" s="4">
        <v>724346.73</v>
      </c>
      <c r="G304" s="4">
        <v>83.3</v>
      </c>
      <c r="H304" s="8">
        <v>1.0</v>
      </c>
      <c r="I304" s="7">
        <f t="shared" si="1"/>
        <v>722221.3609</v>
      </c>
      <c r="J304" s="8">
        <f t="shared" si="2"/>
        <v>2125.369114</v>
      </c>
    </row>
    <row r="305">
      <c r="A305" s="2" t="s">
        <v>97</v>
      </c>
      <c r="B305" s="2" t="s">
        <v>20</v>
      </c>
      <c r="C305" s="2" t="s">
        <v>28</v>
      </c>
      <c r="D305" s="4">
        <v>31997.25</v>
      </c>
      <c r="E305" s="4">
        <v>8183.0</v>
      </c>
      <c r="F305" s="4">
        <v>780580.95</v>
      </c>
      <c r="G305" s="4">
        <v>93.0</v>
      </c>
      <c r="H305" s="8">
        <v>1.0</v>
      </c>
      <c r="I305" s="7">
        <f t="shared" si="1"/>
        <v>719477.0582</v>
      </c>
      <c r="J305" s="8">
        <f t="shared" si="2"/>
        <v>61103.89176</v>
      </c>
    </row>
    <row r="306">
      <c r="A306" s="2" t="s">
        <v>98</v>
      </c>
      <c r="B306" s="2" t="s">
        <v>24</v>
      </c>
      <c r="C306" s="2" t="s">
        <v>16</v>
      </c>
      <c r="D306" s="4">
        <v>46146.24</v>
      </c>
      <c r="E306" s="4">
        <v>5804.0</v>
      </c>
      <c r="F306" s="4">
        <v>538376.0</v>
      </c>
      <c r="G306" s="4">
        <v>86.9</v>
      </c>
      <c r="H306" s="8">
        <v>0.0</v>
      </c>
      <c r="I306" s="7">
        <f t="shared" si="1"/>
        <v>639234.195</v>
      </c>
      <c r="J306" s="8">
        <f t="shared" si="2"/>
        <v>-100858.195</v>
      </c>
    </row>
    <row r="307">
      <c r="A307" s="2" t="s">
        <v>98</v>
      </c>
      <c r="B307" s="2" t="s">
        <v>24</v>
      </c>
      <c r="C307" s="2" t="s">
        <v>16</v>
      </c>
      <c r="D307" s="4">
        <v>60684.05</v>
      </c>
      <c r="E307" s="4">
        <v>6399.0</v>
      </c>
      <c r="F307" s="4">
        <v>651164.18</v>
      </c>
      <c r="G307" s="4">
        <v>99.0</v>
      </c>
      <c r="H307" s="8">
        <v>0.0</v>
      </c>
      <c r="I307" s="7">
        <f t="shared" si="1"/>
        <v>711755.5448</v>
      </c>
      <c r="J307" s="8">
        <f t="shared" si="2"/>
        <v>-60591.36481</v>
      </c>
    </row>
    <row r="308">
      <c r="A308" s="2" t="s">
        <v>98</v>
      </c>
      <c r="B308" s="2" t="s">
        <v>24</v>
      </c>
      <c r="C308" s="2" t="s">
        <v>16</v>
      </c>
      <c r="D308" s="4">
        <v>54948.02</v>
      </c>
      <c r="E308" s="4">
        <v>6534.0</v>
      </c>
      <c r="F308" s="4">
        <v>727957.48</v>
      </c>
      <c r="G308" s="4">
        <v>94.5</v>
      </c>
      <c r="H308" s="8">
        <v>0.0</v>
      </c>
      <c r="I308" s="7">
        <f t="shared" si="1"/>
        <v>696390.0612</v>
      </c>
      <c r="J308" s="8">
        <f t="shared" si="2"/>
        <v>31567.41882</v>
      </c>
    </row>
    <row r="309">
      <c r="A309" s="2" t="s">
        <v>98</v>
      </c>
      <c r="B309" s="2" t="s">
        <v>24</v>
      </c>
      <c r="C309" s="2" t="s">
        <v>16</v>
      </c>
      <c r="D309" s="4">
        <v>22387.26</v>
      </c>
      <c r="E309" s="4">
        <v>6301.0</v>
      </c>
      <c r="F309" s="4">
        <v>665342.49</v>
      </c>
      <c r="G309" s="4">
        <v>85.9</v>
      </c>
      <c r="H309" s="8">
        <v>0.0</v>
      </c>
      <c r="I309" s="7">
        <f t="shared" si="1"/>
        <v>625082.3041</v>
      </c>
      <c r="J309" s="8">
        <f t="shared" si="2"/>
        <v>40260.18588</v>
      </c>
    </row>
    <row r="310">
      <c r="A310" s="2" t="s">
        <v>99</v>
      </c>
      <c r="B310" s="2" t="s">
        <v>24</v>
      </c>
      <c r="C310" s="2" t="s">
        <v>18</v>
      </c>
      <c r="D310" s="4">
        <v>23702.38</v>
      </c>
      <c r="E310" s="4">
        <v>5285.0</v>
      </c>
      <c r="F310" s="4">
        <v>536524.84</v>
      </c>
      <c r="G310" s="4">
        <v>79.7</v>
      </c>
      <c r="H310" s="8">
        <v>0.0</v>
      </c>
      <c r="I310" s="7">
        <f t="shared" si="1"/>
        <v>574298.0956</v>
      </c>
      <c r="J310" s="8">
        <f t="shared" si="2"/>
        <v>-37773.25558</v>
      </c>
    </row>
    <row r="311">
      <c r="A311" s="2" t="s">
        <v>99</v>
      </c>
      <c r="B311" s="2" t="s">
        <v>24</v>
      </c>
      <c r="C311" s="2" t="s">
        <v>18</v>
      </c>
      <c r="D311" s="4">
        <v>48465.6</v>
      </c>
      <c r="E311" s="4">
        <v>5759.0</v>
      </c>
      <c r="F311" s="4">
        <v>628538.3</v>
      </c>
      <c r="G311" s="4">
        <v>87.5</v>
      </c>
      <c r="H311" s="8">
        <v>0.0</v>
      </c>
      <c r="I311" s="7">
        <f t="shared" si="1"/>
        <v>642203.3089</v>
      </c>
      <c r="J311" s="8">
        <f t="shared" si="2"/>
        <v>-13665.0089</v>
      </c>
    </row>
    <row r="312">
      <c r="A312" s="2" t="s">
        <v>99</v>
      </c>
      <c r="B312" s="2" t="s">
        <v>24</v>
      </c>
      <c r="C312" s="2" t="s">
        <v>18</v>
      </c>
      <c r="D312" s="4">
        <v>54322.94</v>
      </c>
      <c r="E312" s="4">
        <v>5434.0</v>
      </c>
      <c r="F312" s="4">
        <v>621677.3</v>
      </c>
      <c r="G312" s="4">
        <v>85.7</v>
      </c>
      <c r="H312" s="8">
        <v>0.0</v>
      </c>
      <c r="I312" s="7">
        <f t="shared" si="1"/>
        <v>632891.6092</v>
      </c>
      <c r="J312" s="8">
        <f t="shared" si="2"/>
        <v>-11214.30922</v>
      </c>
    </row>
    <row r="313">
      <c r="A313" s="2" t="s">
        <v>99</v>
      </c>
      <c r="B313" s="2" t="s">
        <v>24</v>
      </c>
      <c r="C313" s="2" t="s">
        <v>18</v>
      </c>
      <c r="D313" s="4">
        <v>86026.58</v>
      </c>
      <c r="E313" s="4">
        <v>7479.0</v>
      </c>
      <c r="F313" s="4">
        <v>771129.07</v>
      </c>
      <c r="G313" s="4">
        <v>89.0</v>
      </c>
      <c r="H313" s="8">
        <v>0.0</v>
      </c>
      <c r="I313" s="7">
        <f t="shared" si="1"/>
        <v>748685.2577</v>
      </c>
      <c r="J313" s="8">
        <f t="shared" si="2"/>
        <v>22443.81233</v>
      </c>
    </row>
    <row r="314">
      <c r="A314" s="2" t="s">
        <v>100</v>
      </c>
      <c r="B314" s="2" t="s">
        <v>20</v>
      </c>
      <c r="C314" s="2" t="s">
        <v>16</v>
      </c>
      <c r="D314" s="4">
        <v>46767.99</v>
      </c>
      <c r="E314" s="4">
        <v>7973.0</v>
      </c>
      <c r="F314" s="4">
        <v>688368.46</v>
      </c>
      <c r="G314" s="4">
        <v>94.8</v>
      </c>
      <c r="H314" s="8">
        <v>1.0</v>
      </c>
      <c r="I314" s="7">
        <f t="shared" si="1"/>
        <v>735052.9176</v>
      </c>
      <c r="J314" s="8">
        <f t="shared" si="2"/>
        <v>-46684.45756</v>
      </c>
    </row>
    <row r="315">
      <c r="A315" s="2" t="s">
        <v>100</v>
      </c>
      <c r="B315" s="2" t="s">
        <v>20</v>
      </c>
      <c r="C315" s="2" t="s">
        <v>16</v>
      </c>
      <c r="D315" s="4">
        <v>62507.16</v>
      </c>
      <c r="E315" s="4">
        <v>6000.0</v>
      </c>
      <c r="F315" s="4">
        <v>712375.77</v>
      </c>
      <c r="G315" s="4">
        <v>98.2</v>
      </c>
      <c r="H315" s="8">
        <v>1.0</v>
      </c>
      <c r="I315" s="7">
        <f t="shared" si="1"/>
        <v>697102.6556</v>
      </c>
      <c r="J315" s="8">
        <f t="shared" si="2"/>
        <v>15273.11443</v>
      </c>
    </row>
    <row r="316">
      <c r="A316" s="2" t="s">
        <v>100</v>
      </c>
      <c r="B316" s="2" t="s">
        <v>20</v>
      </c>
      <c r="C316" s="2" t="s">
        <v>16</v>
      </c>
      <c r="D316" s="4">
        <v>78967.52</v>
      </c>
      <c r="E316" s="4">
        <v>6164.0</v>
      </c>
      <c r="F316" s="4">
        <v>702052.47</v>
      </c>
      <c r="G316" s="4">
        <v>85.5</v>
      </c>
      <c r="H316" s="8">
        <v>1.0</v>
      </c>
      <c r="I316" s="7">
        <f t="shared" si="1"/>
        <v>684850.9064</v>
      </c>
      <c r="J316" s="8">
        <f t="shared" si="2"/>
        <v>17201.56357</v>
      </c>
    </row>
    <row r="317">
      <c r="A317" s="2" t="s">
        <v>100</v>
      </c>
      <c r="B317" s="2" t="s">
        <v>20</v>
      </c>
      <c r="C317" s="2" t="s">
        <v>16</v>
      </c>
      <c r="D317" s="4">
        <v>66456.28</v>
      </c>
      <c r="E317" s="4">
        <v>9967.0</v>
      </c>
      <c r="F317" s="4">
        <v>844710.67</v>
      </c>
      <c r="G317" s="4">
        <v>94.7</v>
      </c>
      <c r="H317" s="8">
        <v>1.0</v>
      </c>
      <c r="I317" s="7">
        <f t="shared" si="1"/>
        <v>825048.1798</v>
      </c>
      <c r="J317" s="8">
        <f t="shared" si="2"/>
        <v>19662.49024</v>
      </c>
    </row>
    <row r="318">
      <c r="A318" s="2" t="s">
        <v>101</v>
      </c>
      <c r="B318" s="2" t="s">
        <v>15</v>
      </c>
      <c r="C318" s="2" t="s">
        <v>16</v>
      </c>
      <c r="D318" s="4">
        <v>76614.32</v>
      </c>
      <c r="E318" s="4">
        <v>5639.0</v>
      </c>
      <c r="F318" s="4">
        <v>620264.2</v>
      </c>
      <c r="G318" s="4">
        <v>92.9</v>
      </c>
      <c r="H318" s="8">
        <v>0.0</v>
      </c>
      <c r="I318" s="7">
        <f t="shared" si="1"/>
        <v>687078.6418</v>
      </c>
      <c r="J318" s="8">
        <f t="shared" si="2"/>
        <v>-66814.44184</v>
      </c>
    </row>
    <row r="319">
      <c r="A319" s="2" t="s">
        <v>101</v>
      </c>
      <c r="B319" s="2" t="s">
        <v>15</v>
      </c>
      <c r="C319" s="2" t="s">
        <v>16</v>
      </c>
      <c r="D319" s="4">
        <v>40553.11</v>
      </c>
      <c r="E319" s="4">
        <v>5317.0</v>
      </c>
      <c r="F319" s="4">
        <v>559660.84</v>
      </c>
      <c r="G319" s="4">
        <v>84.3</v>
      </c>
      <c r="H319" s="8">
        <v>0.0</v>
      </c>
      <c r="I319" s="7">
        <f t="shared" si="1"/>
        <v>608656.0698</v>
      </c>
      <c r="J319" s="8">
        <f t="shared" si="2"/>
        <v>-48995.22982</v>
      </c>
    </row>
    <row r="320">
      <c r="A320" s="2" t="s">
        <v>101</v>
      </c>
      <c r="B320" s="2" t="s">
        <v>15</v>
      </c>
      <c r="C320" s="2" t="s">
        <v>16</v>
      </c>
      <c r="D320" s="4">
        <v>81902.58</v>
      </c>
      <c r="E320" s="4">
        <v>7775.0</v>
      </c>
      <c r="F320" s="4">
        <v>726776.22</v>
      </c>
      <c r="G320" s="4">
        <v>85.2</v>
      </c>
      <c r="H320" s="8">
        <v>0.0</v>
      </c>
      <c r="I320" s="7">
        <f t="shared" si="1"/>
        <v>742683.2509</v>
      </c>
      <c r="J320" s="8">
        <f t="shared" si="2"/>
        <v>-15907.03087</v>
      </c>
    </row>
    <row r="321">
      <c r="A321" s="2" t="s">
        <v>101</v>
      </c>
      <c r="B321" s="2" t="s">
        <v>15</v>
      </c>
      <c r="C321" s="2" t="s">
        <v>16</v>
      </c>
      <c r="D321" s="4">
        <v>24088.06</v>
      </c>
      <c r="E321" s="4">
        <v>3466.0</v>
      </c>
      <c r="F321" s="4">
        <v>536845.42</v>
      </c>
      <c r="G321" s="4">
        <v>88.0</v>
      </c>
      <c r="H321" s="8">
        <v>0.0</v>
      </c>
      <c r="I321" s="7">
        <f t="shared" si="1"/>
        <v>537795.3026</v>
      </c>
      <c r="J321" s="8">
        <f t="shared" si="2"/>
        <v>-949.8825968</v>
      </c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49.25"/>
    <col customWidth="1" min="5" max="5" width="17.25"/>
    <col customWidth="1" min="6" max="6" width="38.0"/>
  </cols>
  <sheetData>
    <row r="2">
      <c r="B2" s="9" t="s">
        <v>124</v>
      </c>
      <c r="C2" s="9" t="s">
        <v>125</v>
      </c>
      <c r="D2" s="9" t="s">
        <v>113</v>
      </c>
      <c r="E2" s="9" t="s">
        <v>126</v>
      </c>
      <c r="F2" s="9" t="s">
        <v>127</v>
      </c>
    </row>
    <row r="3">
      <c r="B3" s="10" t="s">
        <v>114</v>
      </c>
      <c r="C3" s="10" t="s">
        <v>116</v>
      </c>
      <c r="D3" s="10">
        <v>0.1672</v>
      </c>
      <c r="E3" s="10" t="s">
        <v>116</v>
      </c>
      <c r="F3" s="10" t="s">
        <v>128</v>
      </c>
    </row>
    <row r="4">
      <c r="B4" s="10" t="s">
        <v>117</v>
      </c>
      <c r="C4" s="10" t="s">
        <v>118</v>
      </c>
      <c r="D4" s="10">
        <v>0.7363</v>
      </c>
      <c r="E4" s="10" t="s">
        <v>118</v>
      </c>
      <c r="F4" s="10" t="s">
        <v>129</v>
      </c>
    </row>
    <row r="5">
      <c r="B5" s="10" t="s">
        <v>130</v>
      </c>
      <c r="C5" s="10" t="s">
        <v>131</v>
      </c>
      <c r="D5" s="10" t="s">
        <v>132</v>
      </c>
      <c r="E5" s="10">
        <v>0.8046</v>
      </c>
      <c r="F5" s="10" t="s">
        <v>133</v>
      </c>
    </row>
  </sheetData>
  <drawing r:id="rId1"/>
</worksheet>
</file>